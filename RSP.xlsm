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6CA24F6D-18A6-4883-A046-D46852D52453}" xr6:coauthVersionLast="40" xr6:coauthVersionMax="40" xr10:uidLastSave="{00000000-0000-0000-0000-000000000000}"/>
  <bookViews>
    <workbookView xWindow="-108" yWindow="-108" windowWidth="23256" windowHeight="12576" tabRatio="601" firstSheet="2" activeTab="3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LASER'!$A$24:$J$102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LASER'!$K$24:$K$102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LASER'!$J$24:$J$102</definedName>
  </definedNames>
  <calcPr calcId="181029"/>
  <customWorkbookViews>
    <customWorkbookView name="Filtre 2" guid="{48220F53-A753-4F0D-A1B0-4DC5693E83E9}" maximized="1" windowWidth="0" windowHeight="0" activeSheetId="0"/>
    <customWorkbookView name="Filtre 1" guid="{FFD1D3DF-AC67-4F1F-BAFB-92C0D7600335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3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101" i="2"/>
  <c r="H99" i="2"/>
  <c r="H98" i="2"/>
  <c r="H97" i="2"/>
  <c r="H96" i="2"/>
  <c r="H95" i="2"/>
  <c r="H94" i="2"/>
  <c r="H93" i="2"/>
  <c r="H47" i="2"/>
  <c r="H46" i="2"/>
  <c r="H29" i="2"/>
  <c r="H28" i="2"/>
  <c r="H27" i="2"/>
  <c r="E21" i="2"/>
  <c r="D21" i="2"/>
  <c r="C21" i="2"/>
  <c r="C17" i="2"/>
  <c r="B17" i="6"/>
  <c r="B12" i="2"/>
  <c r="B13" i="1"/>
  <c r="C17" i="6"/>
  <c r="D17" i="2" l="1"/>
  <c r="E17" i="2"/>
  <c r="D18" i="6"/>
  <c r="D20" i="6" s="1"/>
</calcChain>
</file>

<file path=xl/sharedStrings.xml><?xml version="1.0" encoding="utf-8"?>
<sst xmlns="http://schemas.openxmlformats.org/spreadsheetml/2006/main" count="1287" uniqueCount="375">
  <si>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</si>
  <si>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</si>
  <si>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</si>
  <si>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</si>
  <si>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</si>
  <si>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</si>
  <si>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</si>
  <si>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</si>
  <si>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</si>
  <si>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</si>
  <si>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</si>
  <si>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</si>
  <si>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</si>
  <si>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</si>
  <si>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</si>
  <si>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</si>
  <si>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</si>
  <si>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</si>
  <si>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</si>
  <si>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</si>
  <si>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</si>
  <si>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</si>
  <si>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</si>
  <si>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</si>
  <si>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</si>
  <si>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</si>
  <si>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</si>
  <si>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</si>
  <si>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</si>
  <si>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</si>
  <si>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</si>
  <si>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</si>
  <si>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</si>
  <si>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</si>
  <si>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</si>
  <si>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</si>
  <si>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</si>
  <si>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</si>
  <si>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</si>
  <si>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</si>
  <si>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</si>
  <si>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</si>
  <si>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</si>
  <si>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</si>
  <si>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</si>
  <si>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</si>
  <si>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</si>
  <si>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</si>
  <si>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</si>
  <si>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</si>
  <si>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</si>
  <si>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</si>
  <si>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</si>
  <si>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</si>
  <si>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</si>
  <si>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</si>
  <si>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</si>
  <si>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</si>
  <si>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</si>
  <si>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</si>
  <si>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</si>
  <si>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</si>
  <si>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</si>
  <si>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</si>
  <si>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</si>
  <si>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</si>
  <si>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</si>
  <si>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</si>
  <si>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</si>
  <si>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</si>
  <si>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</si>
  <si>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</si>
  <si>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</si>
  <si>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</si>
  <si>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</si>
  <si>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</si>
  <si>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</si>
  <si>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</si>
  <si>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</si>
  <si>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</si>
  <si>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</si>
  <si>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</si>
  <si>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</si>
  <si>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</si>
  <si>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</si>
  <si>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</si>
  <si>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</si>
  <si>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</si>
  <si>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</si>
  <si>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</si>
  <si>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</si>
  <si>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</si>
  <si>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</si>
  <si>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</si>
  <si>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</si>
  <si>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</si>
  <si>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</si>
  <si>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</si>
  <si>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</si>
  <si>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</si>
  <si>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</si>
  <si>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</si>
  <si>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</si>
  <si>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</si>
  <si>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</si>
  <si>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</si>
  <si>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</si>
  <si>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</si>
  <si>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</si>
  <si>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</si>
  <si>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</si>
  <si>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</si>
  <si>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</si>
  <si>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</si>
  <si>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</si>
  <si>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</si>
  <si>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</si>
  <si>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</si>
  <si>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</si>
  <si>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</si>
  <si>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</si>
  <si>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</si>
  <si>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</si>
  <si>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</si>
  <si>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</si>
  <si>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</si>
  <si>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</si>
  <si>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</si>
  <si>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</si>
  <si>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</si>
  <si>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</si>
  <si>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</si>
  <si>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</si>
  <si>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</si>
  <si>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</si>
  <si>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</si>
  <si>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</si>
  <si>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</si>
  <si>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</si>
  <si>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</si>
  <si>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</si>
  <si>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</si>
  <si>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</si>
  <si>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</si>
  <si>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</si>
  <si>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</si>
  <si>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</si>
  <si>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</si>
  <si>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</si>
  <si>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</si>
  <si>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</si>
  <si>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</si>
  <si>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</si>
  <si>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</si>
  <si>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</si>
  <si>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</si>
  <si>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</si>
  <si>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</si>
  <si>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</si>
  <si>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</si>
  <si>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</si>
  <si>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</si>
  <si>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</si>
  <si>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</si>
  <si>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</si>
  <si>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</si>
  <si>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</si>
  <si>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</si>
  <si>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</si>
  <si>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</si>
  <si>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</si>
  <si>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</si>
  <si>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</si>
  <si>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</si>
  <si>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</si>
  <si>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</si>
  <si>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</si>
  <si>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</si>
  <si>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</si>
  <si>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</si>
  <si>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</si>
  <si>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</si>
  <si>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</si>
  <si>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</si>
  <si>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</si>
  <si>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</si>
  <si>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</si>
  <si>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</si>
  <si>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</si>
  <si>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</si>
  <si>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</si>
  <si>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</si>
  <si>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</si>
  <si>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</si>
  <si>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</si>
  <si>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</si>
  <si>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</si>
  <si>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</si>
  <si>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</si>
  <si>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</si>
  <si>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</si>
  <si>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</si>
  <si>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</si>
  <si>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</si>
  <si>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</si>
  <si>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</si>
  <si>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</si>
  <si>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</si>
  <si>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</si>
  <si>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</si>
  <si>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</si>
  <si>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</si>
  <si>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</si>
  <si>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</si>
  <si>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</si>
  <si>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</si>
  <si>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</si>
  <si>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</si>
  <si>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</si>
  <si>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</si>
  <si>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</si>
  <si>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</si>
  <si>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</si>
  <si>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</si>
  <si>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</si>
  <si>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</si>
  <si>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</si>
  <si>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</si>
  <si>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</si>
  <si>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</si>
  <si>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</si>
  <si>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</si>
  <si>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</si>
  <si>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</si>
  <si>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</si>
  <si>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</si>
  <si>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</si>
  <si>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</si>
  <si>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</si>
  <si>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</si>
  <si>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</si>
  <si>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</si>
  <si>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</si>
  <si>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</si>
  <si>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</si>
  <si>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</si>
  <si>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</si>
  <si>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</si>
  <si>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</si>
  <si>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</si>
  <si>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</si>
  <si>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</si>
  <si>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</si>
  <si>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</si>
  <si>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</si>
  <si>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</si>
  <si>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</si>
  <si>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</si>
  <si>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</si>
  <si>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</si>
  <si>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</si>
  <si>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</si>
  <si>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</si>
  <si>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</si>
  <si>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</si>
  <si>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</si>
  <si>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</si>
  <si>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</si>
  <si>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</si>
  <si>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</si>
  <si>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</si>
  <si>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</si>
  <si>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</si>
  <si>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</si>
  <si>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</si>
  <si>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</si>
  <si>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</si>
  <si>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</si>
  <si>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</si>
  <si>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</si>
  <si>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</si>
  <si>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</si>
  <si>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</si>
  <si>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</si>
  <si>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</si>
  <si>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</si>
  <si>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</si>
  <si>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</si>
  <si>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</si>
  <si>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</si>
  <si>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</si>
  <si>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</si>
  <si>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</si>
  <si>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</si>
  <si>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</si>
  <si>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</si>
  <si>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</si>
  <si>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</si>
  <si>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</si>
  <si>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</si>
  <si>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</si>
  <si>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</si>
  <si>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</si>
  <si>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</si>
  <si>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</si>
  <si>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</si>
  <si>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</si>
  <si>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</si>
  <si>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</si>
  <si>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</si>
  <si>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</si>
  <si>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</si>
  <si>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</si>
  <si>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</si>
  <si>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</si>
  <si>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</si>
  <si>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</si>
  <si>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</si>
  <si>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</si>
  <si>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</si>
  <si>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</si>
  <si>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</si>
  <si>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</si>
  <si>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</si>
  <si>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</si>
  <si>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</si>
  <si>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</si>
  <si>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</si>
  <si>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</si>
  <si>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</si>
  <si>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</si>
  <si>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</si>
  <si>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</si>
  <si>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</si>
  <si>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</si>
  <si>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</si>
  <si>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</si>
  <si>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</si>
  <si>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</si>
  <si>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</si>
  <si>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</si>
  <si>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</si>
  <si>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</si>
  <si>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</si>
  <si>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</si>
  <si>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</si>
  <si>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</si>
  <si>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</si>
  <si>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</si>
  <si>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</si>
  <si>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</si>
  <si>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</si>
  <si>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</si>
  <si>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</si>
  <si>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</si>
  <si>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</si>
  <si>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</si>
  <si>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</si>
  <si>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</si>
  <si>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</si>
  <si>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</si>
  <si>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</si>
  <si>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</si>
  <si>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</si>
  <si>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</si>
  <si>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</si>
  <si>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</si>
  <si>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</si>
  <si>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</si>
  <si>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</si>
  <si>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</si>
  <si>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</si>
  <si>
    <t>Pare feu partie haute</t>
  </si>
  <si>
    <t>Pare feu partie milieu</t>
  </si>
  <si>
    <t>Pare feu partie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</si>
</sst>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6" fillId="0" borderId="5" xfId="0" applyFont="1" applyBorder="1" applyAlignment="1">
      <alignment horizontal="center" vertical="center" wrapText="1"/>
    </xf>
    <xf numFmtId="0" fontId="41" fillId="0" borderId="0" xfId="0" applyFont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  <xf numFmtId="0" fontId="6" fillId="2" borderId="5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0" borderId="5" xfId="0" applyFont="1" applyBorder="1" applyAlignment="1">
      <alignment wrapText="1"/>
    </xf>
    <xf numFmtId="0" fontId="16" fillId="2" borderId="5" xfId="0" applyFont="1" applyFill="1" applyBorder="1" applyAlignment="1">
      <alignment wrapText="1"/>
    </xf>
    <xf numFmtId="0" fontId="1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wrapText="1"/>
    </xf>
    <xf numFmtId="0" fontId="6" fillId="4" borderId="6" xfId="0" applyFont="1" applyFill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5" borderId="6" xfId="0" applyFont="1" applyFill="1" applyBorder="1" applyAlignment="1"/>
    <xf numFmtId="0" fontId="18" fillId="2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center"/>
    </xf>
    <xf numFmtId="0" fontId="6" fillId="2" borderId="16" xfId="0" applyFont="1" applyFill="1" applyBorder="1" applyAlignment="1">
      <alignment wrapText="1"/>
    </xf>
    <xf numFmtId="0" fontId="6" fillId="0" borderId="16" xfId="0" applyFont="1" applyBorder="1" applyAlignment="1">
      <alignment wrapText="1"/>
    </xf>
    <xf numFmtId="0" fontId="15" fillId="0" borderId="16" xfId="0" applyFont="1" applyBorder="1" applyAlignment="1">
      <alignment horizontal="center" vertical="center"/>
    </xf>
    <xf numFmtId="0" fontId="0" fillId="0" borderId="16" xfId="0" applyFont="1" applyBorder="1" applyAlignment="1"/>
    <xf numFmtId="0" fontId="6" fillId="2" borderId="1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82"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27</c:v>
                </c:pt>
                <c:pt idx="6">
                  <c:v>21</c:v>
                </c:pt>
                <c:pt idx="7">
                  <c:v>13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14</c:v>
                </c:pt>
                <c:pt idx="7">
                  <c:v>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7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5"/>
  <sheetViews>
    <sheetView showGridLines="0" view="pageLayout" zoomScaleNormal="100" workbookViewId="0">
      <selection activeCell="B3" sqref="B3"/>
    </sheetView>
  </sheetViews>
  <sheetFormatPr defaultColWidth="10.88671875" defaultRowHeight="13.2"/>
  <cols>
    <col min="1" max="1" width="54.21875" style="214" customWidth="1"/>
    <col min="2" max="2" width="27.5546875" style="214" customWidth="1"/>
    <col min="3" max="16384" width="10.88671875" style="214"/>
  </cols>
  <sheetData>
    <row r="1" spans="1:2" ht="39.6">
      <c r="A1" s="213" t="s">
        <v>352</v>
      </c>
    </row>
    <row r="3" spans="1:2">
      <c r="A3" s="215" t="s">
        <v>353</v>
      </c>
      <c r="B3" s="215" t="s">
        <v>354</v>
      </c>
    </row>
    <row r="4" spans="1:2">
      <c r="A4" s="216" t="s">
        <v>355</v>
      </c>
      <c r="B4" s="216"/>
    </row>
    <row r="5" spans="1:2">
      <c r="A5" s="216" t="s">
        <v>356</v>
      </c>
      <c r="B5" s="216"/>
    </row>
  </sheetData>
  <pageMargins left="0.7" right="0.7" top="0.75" bottom="0.75" header="0.3" footer="0.3"/>
  <pageSetup paperSize="9" orientation="portrait" r:id="rId1"/>
  <headerFooter>
    <oddHeader>&amp;C&amp;"Raleway,Gras"&amp;KFF0000Référentiel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74" t="s">
        <v>295</v>
      </c>
      <c r="B2" s="274"/>
      <c r="C2" s="274"/>
      <c r="D2" s="274"/>
      <c r="E2" s="274"/>
      <c r="F2" s="274"/>
      <c r="G2" s="158"/>
      <c r="H2" s="158"/>
      <c r="I2" s="158"/>
      <c r="J2" s="158"/>
      <c r="K2" s="158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7"/>
      <c r="B3" s="147"/>
      <c r="C3" s="147"/>
      <c r="D3" s="147"/>
      <c r="E3" s="147"/>
      <c r="F3" s="148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7"/>
      <c r="B4" s="147"/>
      <c r="C4" s="147"/>
      <c r="D4" s="147"/>
      <c r="E4" s="147"/>
      <c r="F4" s="147"/>
      <c r="G4" s="165"/>
      <c r="H4" s="165"/>
      <c r="I4" s="16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4" t="s">
        <v>351</v>
      </c>
      <c r="B5" s="176" t="s">
        <v>317</v>
      </c>
      <c r="C5" s="177" t="s">
        <v>318</v>
      </c>
      <c r="D5" s="178" t="s">
        <v>319</v>
      </c>
      <c r="E5" s="179" t="s">
        <v>320</v>
      </c>
      <c r="F5" s="168" t="s">
        <v>305</v>
      </c>
      <c r="G5" s="166"/>
      <c r="H5" s="166"/>
      <c r="I5" s="16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9" t="s">
        <v>296</v>
      </c>
      <c r="B6" s="175" t="e">
        <f>IF(COUNTIF('LA MACHE LASER'!$I$25:$I$102,$A6)=0,NA(),COUNTIF('LA MACHE LASER'!$I$25:$I$102,$A6))</f>
        <v>#N/A</v>
      </c>
      <c r="C6" s="175" t="e">
        <f>IF(COUNTIF(BOISARD!$H$16:$H$42,$A6)=0,NA(),COUNTIF(BOISARD!$H$16:$H$42,$A6))</f>
        <v>#N/A</v>
      </c>
      <c r="D6" s="175">
        <f>IF(COUNTIF('LA MACHE PRODUCTIQUE'!$H$15:$H$33,$A6)=0,NA(),COUNTIF('LA MACHE PRODUCTIQUE'!$H$15:$H$33,$A6))</f>
        <v>1</v>
      </c>
      <c r="E6" s="175" t="e">
        <f>IF(COUNTIF('ALPEN TECH'!$H$16:$H$21,$A6)=0,NA(),COUNTIF('ALPEN TECH'!$H$16:$H$21,$A6))</f>
        <v>#N/A</v>
      </c>
      <c r="F6" s="170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9" t="s">
        <v>87</v>
      </c>
      <c r="B7" s="175">
        <f>IF(COUNTIF('LA MACHE LASER'!$I$25:$I$102,$A7)=0,NA(),COUNTIF('LA MACHE LASER'!$I$25:$I$102,$A7))</f>
        <v>1</v>
      </c>
      <c r="C7" s="175">
        <f>IF(COUNTIF(BOISARD!$H$16:$H$42,$A7)=0,NA(),COUNTIF(BOISARD!$H$16:$H$42,$A7))</f>
        <v>3</v>
      </c>
      <c r="D7" s="175" t="e">
        <f>IF(COUNTIF('LA MACHE PRODUCTIQUE'!$H$15:$H$33,$A7)=0,NA(),COUNTIF('LA MACHE PRODUCTIQUE'!$H$15:$H$33,$A7))</f>
        <v>#N/A</v>
      </c>
      <c r="E7" s="175" t="e">
        <f>IF(COUNTIF('ALPEN TECH'!$H$16:$H$21,$A7)=0,NA(),COUNTIF('ALPEN TECH'!$H$16:$H$21,$A7))</f>
        <v>#N/A</v>
      </c>
      <c r="F7" s="170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9" t="s">
        <v>297</v>
      </c>
      <c r="B8" s="175" t="e">
        <f>IF(COUNTIF('LA MACHE LASER'!$I$25:$I$102,$A8)=0,NA(),COUNTIF('LA MACHE LASER'!$I$25:$I$102,$A8))</f>
        <v>#N/A</v>
      </c>
      <c r="C8" s="175">
        <f>IF(COUNTIF(BOISARD!$H$16:$H$42,$A8)=0,NA(),COUNTIF(BOISARD!$H$16:$H$42,$A8))</f>
        <v>3</v>
      </c>
      <c r="D8" s="175" t="e">
        <f>IF(COUNTIF('LA MACHE PRODUCTIQUE'!$H$15:$H$33,$A8)=0,NA(),COUNTIF('LA MACHE PRODUCTIQUE'!$H$15:$H$33,$A8))</f>
        <v>#N/A</v>
      </c>
      <c r="E8" s="175" t="e">
        <f>IF(COUNTIF('ALPEN TECH'!$H$16:$H$21,$A8)=0,NA(),COUNTIF('ALPEN TECH'!$H$16:$H$21,$A8))</f>
        <v>#N/A</v>
      </c>
      <c r="F8" s="170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3" t="s">
        <v>298</v>
      </c>
      <c r="B9" s="175" t="e">
        <f>IF(COUNTIF('LA MACHE LASER'!$I$25:$I$102,$A9)=0,NA(),COUNTIF('LA MACHE LASER'!$I$25:$I$102,$A9))</f>
        <v>#N/A</v>
      </c>
      <c r="C9" s="175" t="e">
        <f>IF(COUNTIF(BOISARD!$H$16:$H$42,$A9)=0,NA(),COUNTIF(BOISARD!$H$16:$H$42,$A9))</f>
        <v>#N/A</v>
      </c>
      <c r="D9" s="175" t="e">
        <f>IF(COUNTIF('LA MACHE PRODUCTIQUE'!$H$15:$H$33,$A9)=0,NA(),COUNTIF('LA MACHE PRODUCTIQUE'!$H$15:$H$33,$A9))</f>
        <v>#N/A</v>
      </c>
      <c r="E9" s="175" t="e">
        <f>IF(COUNTIF('ALPEN TECH'!$H$16:$H$21,$A9)=0,NA(),COUNTIF('ALPEN TECH'!$H$16:$H$21,$A9))</f>
        <v>#N/A</v>
      </c>
      <c r="F9" s="170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2" customFormat="1" ht="28.2" customHeight="1">
      <c r="A10" s="169" t="s">
        <v>300</v>
      </c>
      <c r="B10" s="175" t="e">
        <f>IF(COUNTIF('LA MACHE LASER'!$I$25:$I$102,$A10)=0,NA(),COUNTIF('LA MACHE LASER'!$I$25:$I$102,$A10))</f>
        <v>#N/A</v>
      </c>
      <c r="C10" s="175" t="e">
        <f>IF(COUNTIF(BOISARD!$H$16:$H$42,$A10)=0,NA(),COUNTIF(BOISARD!$H$16:$H$42,$A10))</f>
        <v>#N/A</v>
      </c>
      <c r="D10" s="175" t="e">
        <f>IF(COUNTIF('LA MACHE PRODUCTIQUE'!$H$15:$H$33,$A10)=0,NA(),COUNTIF('LA MACHE PRODUCTIQUE'!$H$15:$H$33,$A10))</f>
        <v>#N/A</v>
      </c>
      <c r="E10" s="175" t="e">
        <f>IF(COUNTIF('ALPEN TECH'!$H$16:$H$21,$A10)=0,NA(),COUNTIF('ALPEN TECH'!$H$16:$H$21,$A10))</f>
        <v>#N/A</v>
      </c>
      <c r="F10" s="171" t="s">
        <v>310</v>
      </c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</row>
    <row r="11" spans="1:32" s="162" customFormat="1" ht="28.2" customHeight="1">
      <c r="A11" s="169" t="s">
        <v>167</v>
      </c>
      <c r="B11" s="175">
        <f>IF(COUNTIF('LA MACHE LASER'!$I$25:$I$102,$A11)=0,NA(),COUNTIF('LA MACHE LASER'!$I$25:$I$102,$A11))</f>
        <v>27</v>
      </c>
      <c r="C11" s="175">
        <f>IF(COUNTIF(BOISARD!$H$16:$H$42,$A11)=0,NA(),COUNTIF(BOISARD!$H$16:$H$42,$A11))</f>
        <v>2</v>
      </c>
      <c r="D11" s="175">
        <f>IF(COUNTIF('LA MACHE PRODUCTIQUE'!$H$15:$H$33,$A11)=0,NA(),COUNTIF('LA MACHE PRODUCTIQUE'!$H$15:$H$33,$A11))</f>
        <v>2</v>
      </c>
      <c r="E11" s="175" t="e">
        <f>IF(COUNTIF('ALPEN TECH'!$H$16:$H$21,$A11)=0,NA(),COUNTIF('ALPEN TECH'!$H$16:$H$21,$A11))</f>
        <v>#N/A</v>
      </c>
      <c r="F11" s="171" t="s">
        <v>311</v>
      </c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</row>
    <row r="12" spans="1:32" s="162" customFormat="1" ht="28.2" customHeight="1">
      <c r="A12" s="169" t="s">
        <v>50</v>
      </c>
      <c r="B12" s="175">
        <f>IF(COUNTIF('LA MACHE LASER'!$I$25:$I$102,$A12)=0,NA(),COUNTIF('LA MACHE LASER'!$I$25:$I$102,$A12))</f>
        <v>21</v>
      </c>
      <c r="C12" s="175">
        <f>IF(COUNTIF(BOISARD!$H$16:$H$42,$A12)=0,NA(),COUNTIF(BOISARD!$H$16:$H$42,$A12))</f>
        <v>12</v>
      </c>
      <c r="D12" s="175">
        <f>IF(COUNTIF('LA MACHE PRODUCTIQUE'!$H$15:$H$33,$A12)=0,NA(),COUNTIF('LA MACHE PRODUCTIQUE'!$H$15:$H$33,$A12))</f>
        <v>14</v>
      </c>
      <c r="E12" s="175">
        <f>IF(COUNTIF('ALPEN TECH'!$H$16:$H$21,$A12)=0,NA(),COUNTIF('ALPEN TECH'!$H$16:$H$21,$A12))</f>
        <v>6</v>
      </c>
      <c r="F12" s="172" t="s">
        <v>312</v>
      </c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</row>
    <row r="13" spans="1:32" ht="28.2" customHeight="1">
      <c r="A13" s="169" t="s">
        <v>301</v>
      </c>
      <c r="B13" s="175">
        <f>IF(COUNTIF('LA MACHE LASER'!$I$25:$I$102,$A13)=0,NA(),COUNTIF('LA MACHE LASER'!$I$25:$I$102,$A13))</f>
        <v>13</v>
      </c>
      <c r="C13" s="175" t="e">
        <f>IF(COUNTIF(BOISARD!$H$16:$H$42,$A13)=0,NA(),COUNTIF(BOISARD!$H$16:$H$42,$A13))</f>
        <v>#N/A</v>
      </c>
      <c r="D13" s="175">
        <f>IF(COUNTIF('LA MACHE PRODUCTIQUE'!$H$15:$H$33,$A13)=0,NA(),COUNTIF('LA MACHE PRODUCTIQUE'!$H$15:$H$33,$A13))</f>
        <v>2</v>
      </c>
      <c r="E13" s="175" t="e">
        <f>IF(COUNTIF('ALPEN TECH'!$H$16:$H$21,$A13)=0,NA(),COUNTIF('ALPEN TECH'!$H$16:$H$21,$A13))</f>
        <v>#N/A</v>
      </c>
      <c r="F13" s="172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9" t="s">
        <v>302</v>
      </c>
      <c r="B14" s="175">
        <f>IF(COUNTIF('LA MACHE LASER'!$I$25:$I$102,$A14)=0,NA(),COUNTIF('LA MACHE LASER'!$I$25:$I$102,$A14))</f>
        <v>6</v>
      </c>
      <c r="C14" s="175" t="e">
        <f>IF(COUNTIF(BOISARD!$H$16:$H$42,$A14)=0,NA(),COUNTIF(BOISARD!$H$16:$H$42,$A14))</f>
        <v>#N/A</v>
      </c>
      <c r="D14" s="175" t="e">
        <f>IF(COUNTIF('LA MACHE PRODUCTIQUE'!$H$15:$H$33,$A14)=0,NA(),COUNTIF('LA MACHE PRODUCTIQUE'!$H$15:$H$33,$A14))</f>
        <v>#N/A</v>
      </c>
      <c r="E14" s="175" t="e">
        <f>IF(COUNTIF('ALPEN TECH'!$H$16:$H$21,$A14)=0,NA(),COUNTIF('ALPEN TECH'!$H$16:$H$21,$A14))</f>
        <v>#N/A</v>
      </c>
      <c r="F14" s="172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9" t="s">
        <v>303</v>
      </c>
      <c r="B15" s="175">
        <f>IF(COUNTIF('LA MACHE LASER'!$I$25:$I$102,$A15)=0,NA(),COUNTIF('LA MACHE LASER'!$I$25:$I$102,$A15))</f>
        <v>10</v>
      </c>
      <c r="C15" s="175">
        <f>IF(COUNTIF(BOISARD!$H$16:$H$42,$A15)=0,NA(),COUNTIF(BOISARD!$H$16:$H$42,$A15))</f>
        <v>7</v>
      </c>
      <c r="D15" s="175" t="e">
        <f>IF(COUNTIF('LA MACHE PRODUCTIQUE'!$H$15:$H$33,$A15)=0,NA(),COUNTIF('LA MACHE PRODUCTIQUE'!$H$15:$H$33,$A15))</f>
        <v>#N/A</v>
      </c>
      <c r="E15" s="175" t="e">
        <f>IF(COUNTIF('ALPEN TECH'!$H$16:$H$21,$A15)=0,NA(),COUNTIF('ALPEN TECH'!$H$16:$H$21,$A15))</f>
        <v>#N/A</v>
      </c>
      <c r="F15" s="172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9" t="s">
        <v>304</v>
      </c>
      <c r="B16" s="175" t="e">
        <f>IF(COUNTIF('LA MACHE LASER'!$I$25:$I$102,$A16)=0,NA(),COUNTIF('LA MACHE LASER'!$I$25:$I$102,$A16))</f>
        <v>#N/A</v>
      </c>
      <c r="C16" s="175" t="e">
        <f>IF(COUNTIF(BOISARD!$H$16:$H$42,$A16)=0,NA(),COUNTIF(BOISARD!$H$16:$H$42,$A16))</f>
        <v>#N/A</v>
      </c>
      <c r="D16" s="175" t="e">
        <f>IF(COUNTIF('LA MACHE PRODUCTIQUE'!$H$15:$H$33,$A16)=0,NA(),COUNTIF('LA MACHE PRODUCTIQUE'!$H$15:$H$33,$A16))</f>
        <v>#N/A</v>
      </c>
      <c r="E16" s="175" t="e">
        <f>IF(COUNTIF('ALPEN TECH'!$H$16:$H$21,$A16)=0,NA(),COUNTIF('ALPEN TECH'!$H$16:$H$21,$A16))</f>
        <v>#N/A</v>
      </c>
      <c r="F16" s="173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7" t="s">
        <v>299</v>
      </c>
      <c r="B17" s="174">
        <f>'LA MACHE LASER'!$F$13</f>
        <v>239</v>
      </c>
      <c r="C17" s="174">
        <f>BOISARD!$G$12</f>
        <v>54</v>
      </c>
      <c r="D17" s="174">
        <f>'LA MACHE PRODUCTIQUE'!$F$12</f>
        <v>226</v>
      </c>
      <c r="E17" s="174">
        <f>'ALPEN TECH'!$E$12</f>
        <v>60</v>
      </c>
      <c r="F17" s="149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80" t="s">
        <v>321</v>
      </c>
      <c r="B18" s="180"/>
      <c r="C18" s="180"/>
      <c r="D18" s="161">
        <f>SUM(B17:E17)</f>
        <v>579</v>
      </c>
      <c r="E18" s="217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1" t="s">
        <v>323</v>
      </c>
      <c r="B19" s="181"/>
      <c r="C19" s="181"/>
      <c r="D19" s="163"/>
      <c r="E19" s="217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2" t="s">
        <v>325</v>
      </c>
      <c r="B20" s="182"/>
      <c r="C20" s="182"/>
      <c r="D20" s="164">
        <f>SUM(D18:D19)</f>
        <v>579</v>
      </c>
      <c r="E20" s="218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50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50" t="s">
        <v>328</v>
      </c>
      <c r="B49" s="151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50" t="s">
        <v>330</v>
      </c>
      <c r="B50" s="151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2"/>
      <c r="B51" s="153" t="s">
        <v>332</v>
      </c>
      <c r="C51" s="151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2"/>
      <c r="B52" s="153" t="s">
        <v>334</v>
      </c>
      <c r="C52" s="151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2"/>
      <c r="B53" s="153" t="s">
        <v>336</v>
      </c>
      <c r="C53" s="151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50" t="s">
        <v>338</v>
      </c>
      <c r="B54" s="151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4"/>
      <c r="B55" s="155" t="s">
        <v>340</v>
      </c>
      <c r="C55" s="151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4"/>
      <c r="B56" s="155" t="s">
        <v>342</v>
      </c>
      <c r="C56" s="151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4"/>
      <c r="B57" s="155" t="s">
        <v>344</v>
      </c>
      <c r="C57" s="151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50" t="s">
        <v>346</v>
      </c>
      <c r="B58" s="156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50" t="s">
        <v>347</v>
      </c>
      <c r="B59" s="151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50" t="s">
        <v>349</v>
      </c>
      <c r="B60" s="151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9" customWidth="1"/>
    <col min="2" max="2" width="11.21875" style="189" customWidth="1"/>
    <col min="3" max="3" width="40" style="189" customWidth="1"/>
    <col min="4" max="4" width="12.21875" style="189" customWidth="1"/>
    <col min="5" max="5" width="19.6640625" style="189" customWidth="1"/>
    <col min="6" max="6" width="29" style="189" customWidth="1"/>
    <col min="7" max="7" width="28.77734375" style="189" customWidth="1"/>
    <col min="8" max="8" width="18.6640625" style="189" customWidth="1"/>
    <col min="9" max="10" width="14.44140625" style="189"/>
    <col min="11" max="11" width="35.5546875" style="189" customWidth="1"/>
    <col min="12" max="16384" width="14.44140625" style="189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60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60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60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60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77" t="s">
        <v>1</v>
      </c>
      <c r="B5" s="278"/>
      <c r="C5" s="278"/>
      <c r="D5" s="278"/>
      <c r="E5" s="278"/>
      <c r="F5" s="278"/>
      <c r="G5" s="278"/>
      <c r="H5" s="278"/>
      <c r="I5" s="278"/>
      <c r="J5" s="279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60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90" t="s">
        <v>2</v>
      </c>
      <c r="G7" s="190" t="s">
        <v>3</v>
      </c>
      <c r="H7" s="24"/>
      <c r="I7" s="24"/>
      <c r="J7" s="160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90" t="s">
        <v>7</v>
      </c>
      <c r="E8" s="191" t="s">
        <v>8</v>
      </c>
      <c r="F8" s="192" t="s">
        <v>9</v>
      </c>
      <c r="G8" s="108" t="s">
        <v>11</v>
      </c>
      <c r="H8" s="24"/>
      <c r="I8" s="24"/>
      <c r="J8" s="160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75" t="s">
        <v>13</v>
      </c>
      <c r="E9" s="193" t="s">
        <v>14</v>
      </c>
      <c r="F9" s="192" t="s">
        <v>15</v>
      </c>
      <c r="G9" s="108" t="s">
        <v>16</v>
      </c>
      <c r="H9" s="24"/>
      <c r="I9" s="24"/>
      <c r="J9" s="160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76"/>
      <c r="E10" s="193" t="s">
        <v>18</v>
      </c>
      <c r="F10" s="194" t="s">
        <v>19</v>
      </c>
      <c r="G10" s="108" t="s">
        <v>20</v>
      </c>
      <c r="H10" s="24"/>
      <c r="I10" s="24"/>
      <c r="J10" s="160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60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5" t="s">
        <v>21</v>
      </c>
      <c r="B12" s="195" t="s">
        <v>22</v>
      </c>
      <c r="C12" s="41"/>
      <c r="E12" s="280" t="s">
        <v>23</v>
      </c>
      <c r="F12" s="281"/>
      <c r="G12" s="196">
        <f>SUM(D16:D60)</f>
        <v>54</v>
      </c>
      <c r="H12" s="24"/>
      <c r="I12" s="24"/>
      <c r="J12" s="160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5" t="s">
        <v>29</v>
      </c>
      <c r="B13" s="197">
        <f ca="1">TODAY()</f>
        <v>43502</v>
      </c>
      <c r="D13" s="41"/>
      <c r="I13" s="24"/>
      <c r="J13" s="160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60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8" t="s">
        <v>31</v>
      </c>
      <c r="B15" s="198" t="s">
        <v>34</v>
      </c>
      <c r="C15" s="198" t="s">
        <v>35</v>
      </c>
      <c r="D15" s="198" t="s">
        <v>36</v>
      </c>
      <c r="E15" s="198" t="s">
        <v>37</v>
      </c>
      <c r="F15" s="198" t="s">
        <v>38</v>
      </c>
      <c r="G15" s="198" t="s">
        <v>39</v>
      </c>
      <c r="H15" s="102" t="s">
        <v>40</v>
      </c>
      <c r="I15" s="198" t="s">
        <v>41</v>
      </c>
      <c r="J15" s="185" t="s">
        <v>42</v>
      </c>
      <c r="K15" s="244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7" t="s">
        <v>44</v>
      </c>
      <c r="B16" s="157" t="s">
        <v>45</v>
      </c>
      <c r="C16" s="108" t="s">
        <v>46</v>
      </c>
      <c r="D16" s="108">
        <v>1</v>
      </c>
      <c r="E16" s="108"/>
      <c r="F16" s="108" t="s">
        <v>47</v>
      </c>
      <c r="G16" s="199" t="s">
        <v>48</v>
      </c>
      <c r="H16" s="108" t="s">
        <v>50</v>
      </c>
      <c r="I16" s="200" t="s">
        <v>51</v>
      </c>
      <c r="J16" s="186">
        <v>1</v>
      </c>
      <c r="K16" s="244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7" t="s">
        <v>44</v>
      </c>
      <c r="B17" s="157" t="s">
        <v>45</v>
      </c>
      <c r="C17" s="108" t="s">
        <v>53</v>
      </c>
      <c r="D17" s="108">
        <v>1</v>
      </c>
      <c r="E17" s="108"/>
      <c r="F17" s="108" t="s">
        <v>47</v>
      </c>
      <c r="G17" s="199" t="s">
        <v>48</v>
      </c>
      <c r="H17" s="201" t="s">
        <v>303</v>
      </c>
      <c r="I17" s="200" t="s">
        <v>51</v>
      </c>
      <c r="J17" s="186">
        <v>1</v>
      </c>
      <c r="K17" s="244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7" t="s">
        <v>44</v>
      </c>
      <c r="B18" s="157" t="s">
        <v>45</v>
      </c>
      <c r="C18" s="108" t="s">
        <v>56</v>
      </c>
      <c r="D18" s="108">
        <v>1</v>
      </c>
      <c r="E18" s="108"/>
      <c r="F18" s="108" t="s">
        <v>47</v>
      </c>
      <c r="G18" s="199" t="s">
        <v>48</v>
      </c>
      <c r="H18" s="201" t="s">
        <v>167</v>
      </c>
      <c r="I18" s="200" t="s">
        <v>51</v>
      </c>
      <c r="J18" s="186">
        <v>1</v>
      </c>
      <c r="K18" s="24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7" t="s">
        <v>44</v>
      </c>
      <c r="B19" s="157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2" t="s">
        <v>62</v>
      </c>
      <c r="H19" s="108" t="s">
        <v>50</v>
      </c>
      <c r="I19" s="200" t="s">
        <v>66</v>
      </c>
      <c r="J19" s="186">
        <v>1</v>
      </c>
      <c r="K19" s="244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7" t="s">
        <v>44</v>
      </c>
      <c r="B20" s="157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2" t="s">
        <v>62</v>
      </c>
      <c r="H20" s="108" t="s">
        <v>50</v>
      </c>
      <c r="I20" s="200" t="s">
        <v>66</v>
      </c>
      <c r="J20" s="187">
        <v>2</v>
      </c>
      <c r="K20" s="244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7" t="s">
        <v>44</v>
      </c>
      <c r="B21" s="157" t="s">
        <v>45</v>
      </c>
      <c r="C21" s="108" t="s">
        <v>85</v>
      </c>
      <c r="D21" s="108">
        <v>1</v>
      </c>
      <c r="E21" s="127"/>
      <c r="F21" s="108" t="s">
        <v>61</v>
      </c>
      <c r="G21" s="140" t="s">
        <v>86</v>
      </c>
      <c r="H21" s="108" t="s">
        <v>87</v>
      </c>
      <c r="I21" s="203" t="s">
        <v>59</v>
      </c>
      <c r="J21" s="188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7" t="s">
        <v>44</v>
      </c>
      <c r="B22" s="157" t="s">
        <v>45</v>
      </c>
      <c r="C22" s="108" t="s">
        <v>88</v>
      </c>
      <c r="D22" s="108">
        <v>1</v>
      </c>
      <c r="E22" s="127"/>
      <c r="F22" s="108" t="s">
        <v>61</v>
      </c>
      <c r="G22" s="140" t="s">
        <v>86</v>
      </c>
      <c r="H22" s="108" t="s">
        <v>87</v>
      </c>
      <c r="I22" s="203" t="s">
        <v>59</v>
      </c>
      <c r="J22" s="188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7" t="s">
        <v>44</v>
      </c>
      <c r="B23" s="157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4" t="s">
        <v>93</v>
      </c>
      <c r="H23" s="108" t="s">
        <v>50</v>
      </c>
      <c r="I23" s="203" t="s">
        <v>94</v>
      </c>
      <c r="J23" s="188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7" t="s">
        <v>44</v>
      </c>
      <c r="B24" s="157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4" t="s">
        <v>93</v>
      </c>
      <c r="H24" s="108" t="s">
        <v>50</v>
      </c>
      <c r="I24" s="203" t="s">
        <v>94</v>
      </c>
      <c r="J24" s="188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7" t="s">
        <v>44</v>
      </c>
      <c r="B25" s="157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4" t="s">
        <v>93</v>
      </c>
      <c r="H25" s="201" t="s">
        <v>303</v>
      </c>
      <c r="I25" s="203" t="s">
        <v>94</v>
      </c>
      <c r="J25" s="188">
        <v>3</v>
      </c>
      <c r="K25" s="244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7" t="s">
        <v>44</v>
      </c>
      <c r="B26" s="157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4" t="s">
        <v>93</v>
      </c>
      <c r="H26" s="108" t="s">
        <v>50</v>
      </c>
      <c r="I26" s="205" t="s">
        <v>103</v>
      </c>
      <c r="J26" s="188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7" t="s">
        <v>44</v>
      </c>
      <c r="B27" s="157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4" t="s">
        <v>93</v>
      </c>
      <c r="H27" s="108" t="s">
        <v>50</v>
      </c>
      <c r="I27" s="205" t="s">
        <v>103</v>
      </c>
      <c r="J27" s="188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7" t="s">
        <v>44</v>
      </c>
      <c r="B28" s="157" t="s">
        <v>73</v>
      </c>
      <c r="C28" s="127" t="s">
        <v>108</v>
      </c>
      <c r="D28" s="127">
        <v>12</v>
      </c>
      <c r="E28" s="127"/>
      <c r="F28" s="127" t="s">
        <v>47</v>
      </c>
      <c r="G28" s="204" t="s">
        <v>93</v>
      </c>
      <c r="H28" s="108" t="s">
        <v>50</v>
      </c>
      <c r="I28" s="203" t="s">
        <v>59</v>
      </c>
      <c r="J28" s="188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7" t="s">
        <v>44</v>
      </c>
      <c r="B29" s="157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6" t="s">
        <v>120</v>
      </c>
      <c r="H29" s="201" t="s">
        <v>303</v>
      </c>
      <c r="I29" s="203" t="s">
        <v>94</v>
      </c>
      <c r="J29" s="187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7" t="s">
        <v>44</v>
      </c>
      <c r="B30" s="157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6" t="s">
        <v>120</v>
      </c>
      <c r="H30" s="201" t="s">
        <v>303</v>
      </c>
      <c r="I30" s="203" t="s">
        <v>94</v>
      </c>
      <c r="J30" s="187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7" t="s">
        <v>44</v>
      </c>
      <c r="B31" s="157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6" t="s">
        <v>120</v>
      </c>
      <c r="H31" s="201" t="s">
        <v>303</v>
      </c>
      <c r="I31" s="203" t="s">
        <v>94</v>
      </c>
      <c r="J31" s="187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7" t="s">
        <v>44</v>
      </c>
      <c r="B32" s="157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6" t="s">
        <v>120</v>
      </c>
      <c r="H32" s="108" t="s">
        <v>50</v>
      </c>
      <c r="I32" s="203" t="s">
        <v>94</v>
      </c>
      <c r="J32" s="187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7" t="s">
        <v>44</v>
      </c>
      <c r="B33" s="157" t="s">
        <v>73</v>
      </c>
      <c r="C33" s="127" t="s">
        <v>137</v>
      </c>
      <c r="D33" s="127">
        <v>2</v>
      </c>
      <c r="E33" s="127"/>
      <c r="F33" s="127" t="s">
        <v>61</v>
      </c>
      <c r="G33" s="206" t="s">
        <v>138</v>
      </c>
      <c r="H33" s="108" t="s">
        <v>50</v>
      </c>
      <c r="I33" s="200" t="s">
        <v>66</v>
      </c>
      <c r="J33" s="187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7" t="s">
        <v>44</v>
      </c>
      <c r="B34" s="157" t="s">
        <v>73</v>
      </c>
      <c r="C34" s="127" t="s">
        <v>139</v>
      </c>
      <c r="D34" s="127">
        <v>2</v>
      </c>
      <c r="E34" s="127"/>
      <c r="F34" s="127" t="s">
        <v>61</v>
      </c>
      <c r="G34" s="206" t="s">
        <v>138</v>
      </c>
      <c r="H34" s="108" t="s">
        <v>50</v>
      </c>
      <c r="I34" s="200" t="s">
        <v>66</v>
      </c>
      <c r="J34" s="187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7" t="s">
        <v>44</v>
      </c>
      <c r="B35" s="157" t="s">
        <v>73</v>
      </c>
      <c r="C35" s="108" t="s">
        <v>143</v>
      </c>
      <c r="D35" s="108">
        <v>1</v>
      </c>
      <c r="E35" s="108"/>
      <c r="F35" s="108" t="s">
        <v>146</v>
      </c>
      <c r="G35" s="140" t="s">
        <v>86</v>
      </c>
      <c r="H35" s="108" t="s">
        <v>297</v>
      </c>
      <c r="I35" s="207" t="s">
        <v>94</v>
      </c>
      <c r="J35" s="186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7" t="s">
        <v>44</v>
      </c>
      <c r="B36" s="157" t="s">
        <v>73</v>
      </c>
      <c r="C36" s="127" t="s">
        <v>150</v>
      </c>
      <c r="D36" s="127">
        <v>1</v>
      </c>
      <c r="E36" s="127"/>
      <c r="F36" s="127" t="s">
        <v>146</v>
      </c>
      <c r="G36" s="208" t="s">
        <v>86</v>
      </c>
      <c r="H36" s="108" t="s">
        <v>297</v>
      </c>
      <c r="I36" s="203" t="s">
        <v>94</v>
      </c>
      <c r="J36" s="187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7" t="s">
        <v>44</v>
      </c>
      <c r="B37" s="157" t="s">
        <v>73</v>
      </c>
      <c r="C37" s="127" t="s">
        <v>151</v>
      </c>
      <c r="D37" s="127">
        <v>1</v>
      </c>
      <c r="E37" s="127"/>
      <c r="F37" s="127" t="s">
        <v>146</v>
      </c>
      <c r="G37" s="208" t="s">
        <v>86</v>
      </c>
      <c r="H37" s="108" t="s">
        <v>87</v>
      </c>
      <c r="I37" s="203" t="s">
        <v>94</v>
      </c>
      <c r="J37" s="187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7" t="s">
        <v>104</v>
      </c>
      <c r="B38" s="157" t="s">
        <v>73</v>
      </c>
      <c r="C38" s="209" t="s">
        <v>154</v>
      </c>
      <c r="D38" s="127">
        <v>1</v>
      </c>
      <c r="E38" s="127" t="s">
        <v>157</v>
      </c>
      <c r="F38" s="127" t="s">
        <v>99</v>
      </c>
      <c r="G38" s="204" t="s">
        <v>93</v>
      </c>
      <c r="H38" s="201" t="s">
        <v>303</v>
      </c>
      <c r="I38" s="200" t="s">
        <v>158</v>
      </c>
      <c r="J38" s="188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40" t="s">
        <v>104</v>
      </c>
      <c r="B39" s="140" t="s">
        <v>73</v>
      </c>
      <c r="C39" s="209" t="s">
        <v>159</v>
      </c>
      <c r="D39" s="127">
        <v>1</v>
      </c>
      <c r="E39" s="127" t="s">
        <v>157</v>
      </c>
      <c r="F39" s="127" t="s">
        <v>99</v>
      </c>
      <c r="G39" s="204" t="s">
        <v>93</v>
      </c>
      <c r="H39" s="201" t="s">
        <v>303</v>
      </c>
      <c r="I39" s="200" t="s">
        <v>158</v>
      </c>
      <c r="J39" s="188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40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10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9" t="s">
        <v>104</v>
      </c>
      <c r="B41" s="219" t="s">
        <v>45</v>
      </c>
      <c r="C41" s="223" t="s">
        <v>357</v>
      </c>
      <c r="D41" s="223">
        <v>1</v>
      </c>
      <c r="E41" s="223"/>
      <c r="F41" s="223" t="s">
        <v>99</v>
      </c>
      <c r="G41" s="224" t="s">
        <v>48</v>
      </c>
      <c r="H41" s="108" t="s">
        <v>50</v>
      </c>
      <c r="I41" s="225" t="s">
        <v>51</v>
      </c>
      <c r="J41" s="2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6" t="s">
        <v>44</v>
      </c>
      <c r="B42" s="226" t="s">
        <v>164</v>
      </c>
      <c r="C42" s="227" t="s">
        <v>165</v>
      </c>
      <c r="D42" s="227">
        <v>1</v>
      </c>
      <c r="E42" s="227"/>
      <c r="F42" s="227" t="s">
        <v>47</v>
      </c>
      <c r="G42" s="227" t="s">
        <v>166</v>
      </c>
      <c r="H42" s="227" t="s">
        <v>167</v>
      </c>
      <c r="I42" s="227" t="s">
        <v>94</v>
      </c>
      <c r="J42" s="22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60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60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2" t="s">
        <v>358</v>
      </c>
      <c r="B45" s="211" t="s">
        <v>169</v>
      </c>
      <c r="C45" s="212" t="s">
        <v>171</v>
      </c>
      <c r="D45" s="24"/>
      <c r="E45" s="24"/>
      <c r="F45" s="24"/>
      <c r="G45" s="24"/>
      <c r="H45" s="24"/>
      <c r="I45" s="24"/>
      <c r="J45" s="160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60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60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60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60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60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60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60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60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60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60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60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60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60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60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60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60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60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60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60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60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60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60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60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60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60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60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60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60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60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60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60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60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60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60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60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60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60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60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60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60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60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60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60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60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60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60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60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60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60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60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60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60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60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60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60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60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60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60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60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60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60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60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60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60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60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60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60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60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60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60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60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60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60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60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60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60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60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60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60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60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60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60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60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60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60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60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60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60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60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60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60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60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60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60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60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60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60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60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60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60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60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60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60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60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60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60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60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60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60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60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60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60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60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60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60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60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60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60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60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60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60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60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60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60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60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60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60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60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60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60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60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60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60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60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60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60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60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60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60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60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60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60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60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60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60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60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60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60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60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60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60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60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60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60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60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60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60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60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60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60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60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60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60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60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60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60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60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60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60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60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60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60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60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60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60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60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60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60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60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60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60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60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60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60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60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60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60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60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60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60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60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60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60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60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60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60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60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60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60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60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60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60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60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60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60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60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60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60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60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60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60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60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60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60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60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60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60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60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60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60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60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60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60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60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60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60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60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60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60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60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60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60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60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60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60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60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60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60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60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60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60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60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60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60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60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60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60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60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60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60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60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60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60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60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60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60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60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60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60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60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60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60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60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60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60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60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60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60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60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60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60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60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60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60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60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60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60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60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60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60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60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60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60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60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60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60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60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60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60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60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60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60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60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60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60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60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60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60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60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60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60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60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60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60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60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60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60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60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60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60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60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60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60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60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60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60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60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60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60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60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60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60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60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60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60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60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60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60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60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60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60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60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60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60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60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60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60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60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60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60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60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60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60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60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60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60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60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60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60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60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60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60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60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60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60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60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60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60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60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60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60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60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60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60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60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60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60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60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60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60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60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60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60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60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60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60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60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60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60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60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60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60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60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60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60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60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60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60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60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60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60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60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60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60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60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60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60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60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60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60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60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60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60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60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60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60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60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60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60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60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60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60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60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60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60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60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60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60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60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60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60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60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60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60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60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60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60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60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60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60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60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60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60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60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60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60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60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60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60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60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60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60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60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60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60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60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60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60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60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60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60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60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60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60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60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60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60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60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60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60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60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60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60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60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60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60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60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60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60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60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60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60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60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60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60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60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60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60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60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60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60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60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60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60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60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60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60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60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60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60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60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60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60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60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60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60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60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60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60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60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60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60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60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60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60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60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60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60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60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60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60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60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60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60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60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60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60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60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60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60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60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60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60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60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60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60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60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60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60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60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60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60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60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60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60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60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60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60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60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60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60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60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60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60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60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60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60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60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60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60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60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60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60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60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60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60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60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60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60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60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60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60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60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60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60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60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60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60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60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60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60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60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60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60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60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60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60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60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60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60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60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60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60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60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60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60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60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60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60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60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60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60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60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60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60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60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60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60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60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60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60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60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60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60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60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60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60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60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60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60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60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60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60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60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60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60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60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60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60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60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60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60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60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60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60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60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60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60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60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60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60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60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60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60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60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60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60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60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60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60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60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60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60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60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60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60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60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60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60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60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60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60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60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60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60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60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60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60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60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60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60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60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60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60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60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60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60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60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60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60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60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60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60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60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60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60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60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60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60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60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60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60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60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60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60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60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60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60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60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60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60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60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60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60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60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60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60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60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60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60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60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60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60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60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60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60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60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60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60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60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60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60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60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60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60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60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60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60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60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60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60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60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60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60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60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60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60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60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60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60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60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60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60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60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60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60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60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60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60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60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60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60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60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60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60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60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60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60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60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60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60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60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60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60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60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60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60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60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60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60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60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60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60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60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60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60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60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60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60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60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60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60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60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60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60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60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60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60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60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60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60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60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60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60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60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60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60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60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60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60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60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60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60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60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60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60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60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60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60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60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60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60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60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60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60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60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60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60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60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60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60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60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60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60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60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60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60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60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60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60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60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60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60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60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60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60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60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60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60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60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60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60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60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60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60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60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60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60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60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60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60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60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60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60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60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60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60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60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60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60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60"/>
    </row>
  </sheetData>
  <autoFilter ref="A15:I42" xr:uid="{00000000-0009-0000-0000-000002000000}"/>
  <customSheetViews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81" priority="7" operator="equal">
      <formula>"MEP validée"</formula>
    </cfRule>
  </conditionalFormatting>
  <conditionalFormatting sqref="H41 H16:H39">
    <cfRule type="cellIs" dxfId="80" priority="8" operator="equal">
      <formula>"MEP à vérifier"</formula>
    </cfRule>
  </conditionalFormatting>
  <conditionalFormatting sqref="H41 H16:H39">
    <cfRule type="cellIs" dxfId="79" priority="9" operator="equal">
      <formula>"MEP en cours"</formula>
    </cfRule>
  </conditionalFormatting>
  <conditionalFormatting sqref="H41 H16:H39">
    <cfRule type="cellIs" dxfId="78" priority="10" operator="equal">
      <formula>"En production"</formula>
    </cfRule>
  </conditionalFormatting>
  <conditionalFormatting sqref="H41 H16:H39">
    <cfRule type="cellIs" dxfId="77" priority="11" operator="equal">
      <formula>"Reçu"</formula>
    </cfRule>
  </conditionalFormatting>
  <conditionalFormatting sqref="H41:H42 H16:H39">
    <cfRule type="cellIs" dxfId="76" priority="12" operator="equal">
      <formula>"Prêt à partir"</formula>
    </cfRule>
  </conditionalFormatting>
  <conditionalFormatting sqref="H40">
    <cfRule type="cellIs" dxfId="75" priority="1" operator="equal">
      <formula>"MEP validée"</formula>
    </cfRule>
  </conditionalFormatting>
  <conditionalFormatting sqref="H40">
    <cfRule type="cellIs" dxfId="74" priority="2" operator="equal">
      <formula>"MEP à vérifier"</formula>
    </cfRule>
  </conditionalFormatting>
  <conditionalFormatting sqref="H40">
    <cfRule type="cellIs" dxfId="73" priority="3" operator="equal">
      <formula>"MEP en cours"</formula>
    </cfRule>
  </conditionalFormatting>
  <conditionalFormatting sqref="H40">
    <cfRule type="cellIs" dxfId="72" priority="4" operator="equal">
      <formula>"En production"</formula>
    </cfRule>
  </conditionalFormatting>
  <conditionalFormatting sqref="H40">
    <cfRule type="cellIs" dxfId="71" priority="5" operator="equal">
      <formula>"Reçu"</formula>
    </cfRule>
  </conditionalFormatting>
  <conditionalFormatting sqref="H40">
    <cfRule type="cellIs" dxfId="70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 filterMode="1">
    <outlinePr summaryBelow="0" summaryRight="0"/>
    <pageSetUpPr fitToPage="1"/>
  </sheetPr>
  <dimension ref="A1:AC1104"/>
  <sheetViews>
    <sheetView showGridLines="0" tabSelected="1" topLeftCell="A72" zoomScale="79" zoomScaleNormal="79" workbookViewId="0">
      <selection activeCell="H107" sqref="H107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34.3320312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A5" s="5"/>
      <c r="B5" s="5"/>
      <c r="C5" s="2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Top="1" thickBot="1">
      <c r="A6" s="277" t="s">
        <v>1</v>
      </c>
      <c r="B6" s="282"/>
      <c r="C6" s="282"/>
      <c r="D6" s="282"/>
      <c r="E6" s="282"/>
      <c r="F6" s="282"/>
      <c r="G6" s="282"/>
      <c r="H6" s="282"/>
      <c r="I6" s="282"/>
      <c r="J6" s="282"/>
      <c r="K6" s="283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8" thickTop="1">
      <c r="A7" s="5"/>
      <c r="B7" s="5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25.8">
      <c r="A8" s="5"/>
      <c r="B8" s="5"/>
      <c r="C8" s="6"/>
      <c r="D8" s="5"/>
      <c r="E8" s="5"/>
      <c r="F8" s="5"/>
      <c r="G8" s="8" t="s">
        <v>2</v>
      </c>
      <c r="H8" s="8" t="s">
        <v>3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6.4">
      <c r="A9" s="10" t="s">
        <v>4</v>
      </c>
      <c r="B9" s="5"/>
      <c r="C9" s="6"/>
      <c r="D9" s="5"/>
      <c r="E9" s="275" t="s">
        <v>5</v>
      </c>
      <c r="F9" s="17" t="s">
        <v>6</v>
      </c>
      <c r="G9" s="19" t="s">
        <v>10</v>
      </c>
      <c r="H9" s="20" t="s">
        <v>17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1.6">
      <c r="A10" s="5"/>
      <c r="B10" s="5"/>
      <c r="C10" s="24"/>
      <c r="D10" s="5"/>
      <c r="E10" s="289"/>
      <c r="F10" s="17" t="s">
        <v>8</v>
      </c>
      <c r="G10" s="19" t="s">
        <v>9</v>
      </c>
      <c r="H10" s="20" t="s">
        <v>11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3.2">
      <c r="A11" s="23" t="s">
        <v>21</v>
      </c>
      <c r="B11" s="23" t="s">
        <v>22</v>
      </c>
      <c r="C11" s="24"/>
      <c r="D11" s="5"/>
      <c r="E11" s="26" t="s">
        <v>13</v>
      </c>
      <c r="F11" s="28" t="s">
        <v>24</v>
      </c>
      <c r="G11" s="19" t="s">
        <v>28</v>
      </c>
      <c r="H11" s="20" t="s">
        <v>30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29</v>
      </c>
      <c r="B12" s="30">
        <f ca="1">TODAY()</f>
        <v>43502</v>
      </c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5.8">
      <c r="A13" s="5"/>
      <c r="B13" s="5"/>
      <c r="C13" s="6"/>
      <c r="D13" s="5"/>
      <c r="E13" s="31" t="s">
        <v>23</v>
      </c>
      <c r="F13" s="33">
        <f>SUM(D25:D114)</f>
        <v>239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3.2">
      <c r="A14" s="290" t="s">
        <v>33</v>
      </c>
      <c r="B14" s="286"/>
      <c r="C14" s="41"/>
      <c r="D14" s="42"/>
      <c r="E14" s="42"/>
      <c r="F14" s="43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91"/>
      <c r="B15" s="285"/>
      <c r="C15" s="285"/>
      <c r="D15" s="285"/>
      <c r="E15" s="286"/>
      <c r="F15" s="5"/>
      <c r="G15" s="5"/>
      <c r="H15" s="5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5"/>
      <c r="X15" s="5"/>
      <c r="Y15" s="5"/>
      <c r="Z15" s="5"/>
      <c r="AA15" s="5"/>
      <c r="AB15" s="5"/>
      <c r="AC15" s="5"/>
    </row>
    <row r="16" spans="1:29" ht="13.2">
      <c r="A16" s="50"/>
      <c r="B16" s="52" t="s">
        <v>58</v>
      </c>
      <c r="C16" s="53" t="s">
        <v>63</v>
      </c>
      <c r="D16" s="54" t="s">
        <v>65</v>
      </c>
      <c r="E16" s="55" t="s">
        <v>70</v>
      </c>
      <c r="F16" s="56"/>
      <c r="G16" s="58"/>
      <c r="H16" s="60" t="s">
        <v>78</v>
      </c>
      <c r="I16" s="62">
        <v>43446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64"/>
      <c r="B17" s="52" t="s">
        <v>83</v>
      </c>
      <c r="C17" s="68">
        <f>H25+H41+H72+180</f>
        <v>481.18899999999996</v>
      </c>
      <c r="D17" s="75" t="e">
        <f>#REF!+H26+H27+H28+H30+H32+H34+H35+H29+H71+H42+H43+H44+H46+H47+H48+H49+H50+#REF!+#REF!+H74+H75+H76+#REF!+#REF!</f>
        <v>#REF!</v>
      </c>
      <c r="E17" s="79" t="e">
        <f>H51+H52+H53+H54+H55+H56+H80+H82+H86+#REF!+H93+H94+H95+H96+H97+H98+H101</f>
        <v>#REF!</v>
      </c>
      <c r="F17" s="56"/>
      <c r="G17" s="56"/>
      <c r="H17" s="60" t="s">
        <v>109</v>
      </c>
      <c r="I17" s="62">
        <v>43454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F18" s="81"/>
      <c r="G18" s="81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A19" s="287" t="s">
        <v>113</v>
      </c>
      <c r="B19" s="52" t="s">
        <v>39</v>
      </c>
      <c r="C19" s="284">
        <v>2017</v>
      </c>
      <c r="D19" s="285"/>
      <c r="E19" s="286"/>
      <c r="F19" s="81"/>
      <c r="G19" s="81"/>
      <c r="H19" s="84" t="s">
        <v>129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88"/>
      <c r="B20" s="52" t="s">
        <v>58</v>
      </c>
      <c r="C20" s="85">
        <v>3</v>
      </c>
      <c r="D20" s="86">
        <v>2</v>
      </c>
      <c r="E20" s="87">
        <v>1</v>
      </c>
      <c r="F20" s="81"/>
      <c r="G20" s="81"/>
      <c r="H20" s="84" t="s">
        <v>140</v>
      </c>
      <c r="I20" s="88" t="s">
        <v>141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89"/>
      <c r="B21" s="52" t="s">
        <v>83</v>
      </c>
      <c r="C21" s="92" t="e">
        <f>H36+#REF!+H57+H58+H59+H87+H60+H88+H89</f>
        <v>#REF!</v>
      </c>
      <c r="D21" s="95" t="e">
        <f>H37+H38+H61+H62+#REF!+H63+H64+H65+#REF!+H66+H67+H68+H69+#REF!+H102</f>
        <v>#REF!</v>
      </c>
      <c r="E21" s="98">
        <f>H39</f>
        <v>0</v>
      </c>
      <c r="F21" s="81"/>
      <c r="G21" s="81"/>
      <c r="H21" s="84" t="s">
        <v>162</v>
      </c>
      <c r="I21" s="88" t="s">
        <v>163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5"/>
      <c r="B22" s="5"/>
      <c r="C22" s="6"/>
      <c r="D22" s="5"/>
      <c r="E22" s="5"/>
      <c r="F22" s="81"/>
      <c r="G22" s="81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81"/>
      <c r="B23" s="81"/>
      <c r="C23" s="81"/>
      <c r="D23" s="5"/>
      <c r="E23" s="5"/>
      <c r="F23" s="5"/>
      <c r="G23" s="5"/>
      <c r="H23" s="5"/>
      <c r="I23" s="5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26.4">
      <c r="A24" s="101" t="s">
        <v>32</v>
      </c>
      <c r="B24" s="101" t="s">
        <v>34</v>
      </c>
      <c r="C24" s="101" t="s">
        <v>35</v>
      </c>
      <c r="D24" s="101" t="s">
        <v>36</v>
      </c>
      <c r="E24" s="101" t="s">
        <v>168</v>
      </c>
      <c r="F24" s="101" t="s">
        <v>38</v>
      </c>
      <c r="G24" s="101" t="s">
        <v>39</v>
      </c>
      <c r="H24" s="101" t="s">
        <v>170</v>
      </c>
      <c r="I24" s="101" t="s">
        <v>40</v>
      </c>
      <c r="J24" s="102" t="s">
        <v>41</v>
      </c>
      <c r="K24" s="38" t="s">
        <v>42</v>
      </c>
      <c r="L24" s="245" t="s">
        <v>365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13.2">
      <c r="A25" s="65" t="s">
        <v>44</v>
      </c>
      <c r="B25" s="66" t="s">
        <v>45</v>
      </c>
      <c r="C25" s="67" t="s">
        <v>172</v>
      </c>
      <c r="D25" s="103">
        <v>32</v>
      </c>
      <c r="E25" s="104">
        <v>4</v>
      </c>
      <c r="F25" s="20" t="s">
        <v>173</v>
      </c>
      <c r="G25" s="106" t="s">
        <v>174</v>
      </c>
      <c r="H25" s="20">
        <v>221.18899999999999</v>
      </c>
      <c r="I25" s="20" t="s">
        <v>50</v>
      </c>
      <c r="J25" s="107" t="s">
        <v>175</v>
      </c>
      <c r="K25" s="46">
        <v>1</v>
      </c>
      <c r="L25" s="245" t="s">
        <v>364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108" t="s">
        <v>176</v>
      </c>
      <c r="D26" s="109">
        <v>2</v>
      </c>
      <c r="E26" s="110">
        <v>3</v>
      </c>
      <c r="F26" s="111" t="s">
        <v>173</v>
      </c>
      <c r="G26" s="112" t="s">
        <v>62</v>
      </c>
      <c r="H26" s="20">
        <v>40</v>
      </c>
      <c r="I26" s="20" t="s">
        <v>50</v>
      </c>
      <c r="J26" s="107" t="s">
        <v>177</v>
      </c>
      <c r="K26" s="59">
        <v>2</v>
      </c>
      <c r="L26" s="245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240" t="s">
        <v>84</v>
      </c>
      <c r="D27" s="69">
        <v>6</v>
      </c>
      <c r="E27" s="113">
        <v>3</v>
      </c>
      <c r="F27" s="111" t="s">
        <v>173</v>
      </c>
      <c r="G27" s="112" t="s">
        <v>62</v>
      </c>
      <c r="H27" s="106">
        <f>56*4</f>
        <v>224</v>
      </c>
      <c r="I27" s="124" t="s">
        <v>50</v>
      </c>
      <c r="J27" s="76" t="s">
        <v>66</v>
      </c>
      <c r="K27" s="59">
        <v>2</v>
      </c>
      <c r="L27" s="245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40" t="s">
        <v>100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90*4</f>
        <v>360</v>
      </c>
      <c r="I28" s="124" t="s">
        <v>50</v>
      </c>
      <c r="J28" s="76" t="s">
        <v>66</v>
      </c>
      <c r="K28" s="59">
        <v>2</v>
      </c>
      <c r="L28" s="245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42" t="s">
        <v>178</v>
      </c>
      <c r="D29" s="103">
        <v>4</v>
      </c>
      <c r="E29" s="114">
        <v>3</v>
      </c>
      <c r="F29" s="111" t="s">
        <v>173</v>
      </c>
      <c r="G29" s="115" t="s">
        <v>62</v>
      </c>
      <c r="H29" s="106">
        <f>4.75*4</f>
        <v>19</v>
      </c>
      <c r="I29" s="124" t="s">
        <v>50</v>
      </c>
      <c r="J29" s="116" t="s">
        <v>51</v>
      </c>
      <c r="K29" s="59">
        <v>2</v>
      </c>
      <c r="L29" s="245" t="s">
        <v>364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3" t="s">
        <v>179</v>
      </c>
      <c r="D30" s="117">
        <v>1</v>
      </c>
      <c r="E30" s="118">
        <v>4</v>
      </c>
      <c r="F30" s="20" t="s">
        <v>180</v>
      </c>
      <c r="G30" s="115" t="s">
        <v>174</v>
      </c>
      <c r="H30" s="117">
        <v>180</v>
      </c>
      <c r="I30" s="124" t="s">
        <v>50</v>
      </c>
      <c r="J30" s="76" t="s">
        <v>66</v>
      </c>
      <c r="K30" s="59">
        <v>2</v>
      </c>
      <c r="L30" s="245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3" t="s">
        <v>181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5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3" t="s">
        <v>182</v>
      </c>
      <c r="D32" s="117">
        <v>1</v>
      </c>
      <c r="E32" s="114">
        <v>3</v>
      </c>
      <c r="F32" s="20" t="s">
        <v>180</v>
      </c>
      <c r="G32" s="115" t="s">
        <v>62</v>
      </c>
      <c r="H32" s="117">
        <v>180</v>
      </c>
      <c r="I32" s="124" t="s">
        <v>50</v>
      </c>
      <c r="J32" s="76" t="s">
        <v>66</v>
      </c>
      <c r="K32" s="59">
        <v>2</v>
      </c>
      <c r="L32" s="245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3" t="s">
        <v>183</v>
      </c>
      <c r="D33" s="103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50</v>
      </c>
      <c r="J33" s="76" t="s">
        <v>66</v>
      </c>
      <c r="K33" s="59">
        <v>2</v>
      </c>
      <c r="L33" s="245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184</v>
      </c>
      <c r="D34" s="103">
        <v>4</v>
      </c>
      <c r="E34" s="114">
        <v>3</v>
      </c>
      <c r="F34" s="111" t="s">
        <v>173</v>
      </c>
      <c r="G34" s="115" t="s">
        <v>62</v>
      </c>
      <c r="H34" s="106">
        <v>160</v>
      </c>
      <c r="I34" s="124" t="s">
        <v>301</v>
      </c>
      <c r="J34" s="76" t="s">
        <v>77</v>
      </c>
      <c r="K34" s="59">
        <v>2</v>
      </c>
      <c r="L34" s="245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2" t="s">
        <v>185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18.52</v>
      </c>
      <c r="I35" s="124" t="s">
        <v>50</v>
      </c>
      <c r="J35" s="76" t="s">
        <v>77</v>
      </c>
      <c r="K35" s="59">
        <v>2</v>
      </c>
      <c r="L35" s="245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 hidden="1">
      <c r="A36" s="65" t="s">
        <v>44</v>
      </c>
      <c r="B36" s="66" t="s">
        <v>73</v>
      </c>
      <c r="C36" s="67" t="s">
        <v>189</v>
      </c>
      <c r="D36" s="20">
        <v>5</v>
      </c>
      <c r="E36" s="121">
        <v>3</v>
      </c>
      <c r="F36" s="20" t="s">
        <v>173</v>
      </c>
      <c r="G36" s="20" t="s">
        <v>190</v>
      </c>
      <c r="H36" s="122"/>
      <c r="I36" s="20" t="s">
        <v>167</v>
      </c>
      <c r="J36" s="120" t="s">
        <v>82</v>
      </c>
      <c r="K36" s="59">
        <v>2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 hidden="1">
      <c r="A37" s="65" t="s">
        <v>44</v>
      </c>
      <c r="B37" s="66" t="s">
        <v>73</v>
      </c>
      <c r="C37" s="67" t="s">
        <v>191</v>
      </c>
      <c r="D37" s="20">
        <v>8</v>
      </c>
      <c r="E37" s="123">
        <v>2</v>
      </c>
      <c r="F37" s="20" t="s">
        <v>173</v>
      </c>
      <c r="G37" s="20" t="s">
        <v>190</v>
      </c>
      <c r="H37" s="122"/>
      <c r="I37" s="124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 hidden="1">
      <c r="A38" s="65" t="s">
        <v>44</v>
      </c>
      <c r="B38" s="66" t="s">
        <v>73</v>
      </c>
      <c r="C38" s="67" t="s">
        <v>192</v>
      </c>
      <c r="D38" s="103">
        <v>24</v>
      </c>
      <c r="E38" s="123">
        <v>2</v>
      </c>
      <c r="F38" s="20" t="s">
        <v>173</v>
      </c>
      <c r="G38" s="20" t="s">
        <v>138</v>
      </c>
      <c r="H38" s="124"/>
      <c r="I38" s="124" t="s">
        <v>167</v>
      </c>
      <c r="J38" s="125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 hidden="1">
      <c r="A39" s="65" t="s">
        <v>44</v>
      </c>
      <c r="B39" s="66" t="s">
        <v>73</v>
      </c>
      <c r="C39" s="67" t="s">
        <v>193</v>
      </c>
      <c r="D39" s="103">
        <v>6</v>
      </c>
      <c r="E39" s="126">
        <v>1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58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 hidden="1">
      <c r="A40" s="65" t="s">
        <v>44</v>
      </c>
      <c r="B40" s="66" t="s">
        <v>73</v>
      </c>
      <c r="C40" s="67" t="s">
        <v>194</v>
      </c>
      <c r="D40" s="20">
        <v>12</v>
      </c>
      <c r="E40" s="123">
        <v>2</v>
      </c>
      <c r="F40" s="20" t="s">
        <v>195</v>
      </c>
      <c r="G40" s="20" t="s">
        <v>190</v>
      </c>
      <c r="H40" s="20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>
      <c r="A41" s="65" t="s">
        <v>104</v>
      </c>
      <c r="B41" s="66" t="s">
        <v>45</v>
      </c>
      <c r="C41" s="239" t="s">
        <v>196</v>
      </c>
      <c r="D41" s="106">
        <v>2</v>
      </c>
      <c r="E41" s="104">
        <v>4</v>
      </c>
      <c r="F41" s="106" t="s">
        <v>197</v>
      </c>
      <c r="G41" s="106" t="s">
        <v>174</v>
      </c>
      <c r="H41" s="20">
        <v>48</v>
      </c>
      <c r="I41" s="20" t="s">
        <v>50</v>
      </c>
      <c r="J41" s="76" t="s">
        <v>77</v>
      </c>
      <c r="K41" s="46">
        <v>1</v>
      </c>
      <c r="L41" s="245" t="s">
        <v>364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127" t="s">
        <v>198</v>
      </c>
      <c r="D42" s="106">
        <v>1</v>
      </c>
      <c r="E42" s="128">
        <v>1.5</v>
      </c>
      <c r="F42" s="106" t="s">
        <v>173</v>
      </c>
      <c r="G42" s="106" t="s">
        <v>48</v>
      </c>
      <c r="H42" s="20">
        <v>40</v>
      </c>
      <c r="I42" s="48" t="s">
        <v>302</v>
      </c>
      <c r="J42" s="107" t="s">
        <v>199</v>
      </c>
      <c r="K42" s="46">
        <v>1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200</v>
      </c>
      <c r="D43" s="106">
        <v>1</v>
      </c>
      <c r="E43" s="128">
        <v>1.5</v>
      </c>
      <c r="F43" s="106" t="s">
        <v>201</v>
      </c>
      <c r="G43" s="106" t="s">
        <v>48</v>
      </c>
      <c r="H43" s="20">
        <v>40</v>
      </c>
      <c r="I43" s="48" t="s">
        <v>302</v>
      </c>
      <c r="J43" s="76" t="s">
        <v>202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240" t="s">
        <v>203</v>
      </c>
      <c r="D44" s="20">
        <v>4</v>
      </c>
      <c r="E44" s="121">
        <v>3</v>
      </c>
      <c r="F44" s="20" t="s">
        <v>197</v>
      </c>
      <c r="G44" s="20" t="s">
        <v>62</v>
      </c>
      <c r="H44" s="20">
        <v>50</v>
      </c>
      <c r="I44" s="124" t="s">
        <v>50</v>
      </c>
      <c r="J44" s="129" t="s">
        <v>204</v>
      </c>
      <c r="K44" s="59">
        <v>2</v>
      </c>
      <c r="L44" s="245" t="s">
        <v>364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205</v>
      </c>
      <c r="D45" s="106">
        <v>4</v>
      </c>
      <c r="E45" s="121">
        <v>3</v>
      </c>
      <c r="F45" s="106" t="s">
        <v>197</v>
      </c>
      <c r="G45" s="106" t="s">
        <v>62</v>
      </c>
      <c r="H45" s="20">
        <v>50</v>
      </c>
      <c r="I45" s="124" t="s">
        <v>301</v>
      </c>
      <c r="J45" s="76" t="s">
        <v>77</v>
      </c>
      <c r="K45" s="59">
        <v>2</v>
      </c>
      <c r="L45" s="245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127" t="s">
        <v>206</v>
      </c>
      <c r="D46" s="106">
        <v>3</v>
      </c>
      <c r="E46" s="121">
        <v>3</v>
      </c>
      <c r="F46" s="106" t="s">
        <v>197</v>
      </c>
      <c r="G46" s="106" t="s">
        <v>62</v>
      </c>
      <c r="H46" s="20">
        <f>12+4+4</f>
        <v>20</v>
      </c>
      <c r="I46" s="124" t="s">
        <v>50</v>
      </c>
      <c r="J46" s="107" t="s">
        <v>155</v>
      </c>
      <c r="K46" s="59">
        <v>2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207</v>
      </c>
      <c r="D47" s="106">
        <v>4</v>
      </c>
      <c r="E47" s="121">
        <v>3</v>
      </c>
      <c r="F47" s="106" t="s">
        <v>197</v>
      </c>
      <c r="G47" s="106" t="s">
        <v>62</v>
      </c>
      <c r="H47" s="20">
        <f>12+10+10+8</f>
        <v>40</v>
      </c>
      <c r="I47" s="124" t="s">
        <v>301</v>
      </c>
      <c r="J47" s="76" t="s">
        <v>208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30" t="s">
        <v>209</v>
      </c>
      <c r="D48" s="106">
        <v>1</v>
      </c>
      <c r="E48" s="121">
        <v>3</v>
      </c>
      <c r="F48" s="106" t="s">
        <v>201</v>
      </c>
      <c r="G48" s="106" t="s">
        <v>62</v>
      </c>
      <c r="H48" s="20">
        <v>520</v>
      </c>
      <c r="I48" s="124" t="s">
        <v>301</v>
      </c>
      <c r="J48" s="76" t="s">
        <v>51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241" t="s">
        <v>210</v>
      </c>
      <c r="D49" s="106">
        <v>2</v>
      </c>
      <c r="E49" s="121">
        <v>3</v>
      </c>
      <c r="F49" s="106" t="s">
        <v>197</v>
      </c>
      <c r="G49" s="106" t="s">
        <v>62</v>
      </c>
      <c r="H49" s="20">
        <v>20</v>
      </c>
      <c r="I49" s="124" t="s">
        <v>50</v>
      </c>
      <c r="J49" s="107" t="s">
        <v>155</v>
      </c>
      <c r="K49" s="59">
        <v>2</v>
      </c>
      <c r="L49" s="245" t="s">
        <v>364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39" t="s">
        <v>211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60</v>
      </c>
      <c r="I50" s="124" t="s">
        <v>301</v>
      </c>
      <c r="J50" s="131" t="s">
        <v>212</v>
      </c>
      <c r="K50" s="59">
        <v>2</v>
      </c>
      <c r="L50" s="245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127" t="s">
        <v>213</v>
      </c>
      <c r="D51" s="106">
        <v>1</v>
      </c>
      <c r="E51" s="121">
        <v>3</v>
      </c>
      <c r="F51" s="106" t="s">
        <v>197</v>
      </c>
      <c r="G51" s="106" t="s">
        <v>62</v>
      </c>
      <c r="H51" s="20">
        <v>5</v>
      </c>
      <c r="I51" s="124" t="s">
        <v>301</v>
      </c>
      <c r="J51" s="107" t="s">
        <v>155</v>
      </c>
      <c r="K51" s="59">
        <v>2</v>
      </c>
      <c r="L51" s="245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214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10</v>
      </c>
      <c r="I52" s="124" t="s">
        <v>301</v>
      </c>
      <c r="J52" s="107" t="s">
        <v>155</v>
      </c>
      <c r="K52" s="59">
        <v>2</v>
      </c>
      <c r="L52" s="245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215</v>
      </c>
      <c r="D53" s="106">
        <v>1</v>
      </c>
      <c r="E53" s="121">
        <v>3</v>
      </c>
      <c r="F53" s="106" t="s">
        <v>197</v>
      </c>
      <c r="G53" s="106" t="s">
        <v>62</v>
      </c>
      <c r="H53" s="106">
        <v>7</v>
      </c>
      <c r="I53" s="124" t="s">
        <v>301</v>
      </c>
      <c r="J53" s="107" t="s">
        <v>155</v>
      </c>
      <c r="K53" s="59">
        <v>2</v>
      </c>
      <c r="L53" s="245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216</v>
      </c>
      <c r="D54" s="106">
        <v>1</v>
      </c>
      <c r="E54" s="128">
        <v>1.5</v>
      </c>
      <c r="F54" s="106" t="s">
        <v>197</v>
      </c>
      <c r="G54" s="106" t="s">
        <v>48</v>
      </c>
      <c r="H54" s="20">
        <v>6</v>
      </c>
      <c r="I54" s="48" t="s">
        <v>302</v>
      </c>
      <c r="J54" s="107" t="s">
        <v>155</v>
      </c>
      <c r="K54" s="46">
        <v>1</v>
      </c>
      <c r="L54" s="245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217</v>
      </c>
      <c r="D55" s="106">
        <v>2</v>
      </c>
      <c r="E55" s="128">
        <v>1.5</v>
      </c>
      <c r="F55" s="106" t="s">
        <v>197</v>
      </c>
      <c r="G55" s="106" t="s">
        <v>48</v>
      </c>
      <c r="H55" s="20">
        <v>12</v>
      </c>
      <c r="I55" s="48" t="s">
        <v>302</v>
      </c>
      <c r="J55" s="107" t="s">
        <v>155</v>
      </c>
      <c r="K55" s="46">
        <v>1</v>
      </c>
      <c r="L55" s="245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218</v>
      </c>
      <c r="D56" s="106">
        <v>1</v>
      </c>
      <c r="E56" s="121">
        <v>3</v>
      </c>
      <c r="F56" s="106" t="s">
        <v>173</v>
      </c>
      <c r="G56" s="106" t="s">
        <v>62</v>
      </c>
      <c r="H56" s="20">
        <v>8</v>
      </c>
      <c r="I56" s="124" t="s">
        <v>301</v>
      </c>
      <c r="J56" s="132" t="s">
        <v>155</v>
      </c>
      <c r="K56" s="59">
        <v>2</v>
      </c>
      <c r="L56" s="245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 hidden="1">
      <c r="A57" s="65" t="s">
        <v>104</v>
      </c>
      <c r="B57" s="66" t="s">
        <v>73</v>
      </c>
      <c r="C57" s="127" t="s">
        <v>219</v>
      </c>
      <c r="D57" s="106">
        <v>1</v>
      </c>
      <c r="E57" s="133">
        <v>2.5</v>
      </c>
      <c r="F57" s="106" t="s">
        <v>197</v>
      </c>
      <c r="G57" s="134">
        <v>5754</v>
      </c>
      <c r="H57" s="20"/>
      <c r="I57" s="20" t="s">
        <v>167</v>
      </c>
      <c r="J57" s="129" t="s">
        <v>51</v>
      </c>
      <c r="K57" s="59">
        <v>2</v>
      </c>
      <c r="L57" s="245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 hidden="1">
      <c r="A58" s="65" t="s">
        <v>104</v>
      </c>
      <c r="B58" s="66" t="s">
        <v>73</v>
      </c>
      <c r="C58" s="127" t="s">
        <v>220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124" t="s">
        <v>167</v>
      </c>
      <c r="J58" s="129" t="s">
        <v>51</v>
      </c>
      <c r="K58" s="59">
        <v>2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 hidden="1">
      <c r="A59" s="65" t="s">
        <v>104</v>
      </c>
      <c r="B59" s="66" t="s">
        <v>73</v>
      </c>
      <c r="C59" s="127" t="s">
        <v>221</v>
      </c>
      <c r="D59" s="106">
        <v>1</v>
      </c>
      <c r="E59" s="121">
        <v>3</v>
      </c>
      <c r="F59" s="106" t="s">
        <v>201</v>
      </c>
      <c r="G59" s="106" t="s">
        <v>190</v>
      </c>
      <c r="H59" s="20">
        <v>80</v>
      </c>
      <c r="I59" s="124" t="s">
        <v>167</v>
      </c>
      <c r="J59" s="132" t="s">
        <v>199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 hidden="1">
      <c r="A60" s="65" t="s">
        <v>104</v>
      </c>
      <c r="B60" s="66" t="s">
        <v>73</v>
      </c>
      <c r="C60" s="127" t="s">
        <v>222</v>
      </c>
      <c r="D60" s="106">
        <v>1</v>
      </c>
      <c r="E60" s="121">
        <v>3</v>
      </c>
      <c r="F60" s="106" t="s">
        <v>197</v>
      </c>
      <c r="G60" s="106" t="s">
        <v>190</v>
      </c>
      <c r="H60" s="20">
        <v>5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 hidden="1">
      <c r="A61" s="65" t="s">
        <v>104</v>
      </c>
      <c r="B61" s="66" t="s">
        <v>73</v>
      </c>
      <c r="C61" s="127" t="s">
        <v>223</v>
      </c>
      <c r="D61" s="106">
        <v>1</v>
      </c>
      <c r="E61" s="123">
        <v>2</v>
      </c>
      <c r="F61" s="106" t="s">
        <v>197</v>
      </c>
      <c r="G61" s="106" t="s">
        <v>190</v>
      </c>
      <c r="H61" s="20">
        <v>440</v>
      </c>
      <c r="I61" s="124" t="s">
        <v>167</v>
      </c>
      <c r="J61" s="135" t="s">
        <v>202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 hidden="1">
      <c r="A62" s="65" t="s">
        <v>104</v>
      </c>
      <c r="B62" s="66" t="s">
        <v>73</v>
      </c>
      <c r="C62" s="127" t="s">
        <v>224</v>
      </c>
      <c r="D62" s="106">
        <v>2</v>
      </c>
      <c r="E62" s="123">
        <v>2</v>
      </c>
      <c r="F62" s="106" t="s">
        <v>201</v>
      </c>
      <c r="G62" s="106" t="s">
        <v>225</v>
      </c>
      <c r="H62" s="106">
        <v>100</v>
      </c>
      <c r="I62" s="124" t="s">
        <v>167</v>
      </c>
      <c r="J62" s="107" t="s">
        <v>226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 hidden="1">
      <c r="A63" s="65" t="s">
        <v>104</v>
      </c>
      <c r="B63" s="66" t="s">
        <v>73</v>
      </c>
      <c r="C63" s="127" t="s">
        <v>227</v>
      </c>
      <c r="D63" s="106">
        <v>1</v>
      </c>
      <c r="E63" s="123">
        <v>2</v>
      </c>
      <c r="F63" s="106" t="s">
        <v>180</v>
      </c>
      <c r="G63" s="106" t="s">
        <v>225</v>
      </c>
      <c r="H63" s="20">
        <v>4108</v>
      </c>
      <c r="I63" s="124" t="s">
        <v>167</v>
      </c>
      <c r="J63" s="76" t="s">
        <v>208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 hidden="1">
      <c r="A64" s="65" t="s">
        <v>104</v>
      </c>
      <c r="B64" s="66" t="s">
        <v>73</v>
      </c>
      <c r="C64" s="127" t="s">
        <v>228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880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 hidden="1">
      <c r="A65" s="65" t="s">
        <v>104</v>
      </c>
      <c r="B65" s="66" t="s">
        <v>73</v>
      </c>
      <c r="C65" s="127" t="s">
        <v>229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176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 hidden="1">
      <c r="A66" s="65" t="s">
        <v>104</v>
      </c>
      <c r="B66" s="66" t="s">
        <v>73</v>
      </c>
      <c r="C66" s="127" t="s">
        <v>230</v>
      </c>
      <c r="D66" s="106">
        <v>1</v>
      </c>
      <c r="E66" s="123">
        <v>2</v>
      </c>
      <c r="F66" s="106" t="s">
        <v>180</v>
      </c>
      <c r="G66" s="136" t="s">
        <v>190</v>
      </c>
      <c r="H66" s="20">
        <v>48</v>
      </c>
      <c r="I66" s="124" t="s">
        <v>167</v>
      </c>
      <c r="J66" s="107" t="s">
        <v>199</v>
      </c>
      <c r="K66" s="59">
        <v>2</v>
      </c>
      <c r="L66" s="245" t="s">
        <v>364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 hidden="1">
      <c r="A67" s="65" t="s">
        <v>104</v>
      </c>
      <c r="B67" s="66" t="s">
        <v>73</v>
      </c>
      <c r="C67" s="127" t="s">
        <v>231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11</v>
      </c>
      <c r="I67" s="124" t="s">
        <v>167</v>
      </c>
      <c r="J67" s="107" t="s">
        <v>199</v>
      </c>
      <c r="K67" s="59">
        <v>2</v>
      </c>
      <c r="L67" s="245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 hidden="1">
      <c r="A68" s="65" t="s">
        <v>104</v>
      </c>
      <c r="B68" s="66" t="s">
        <v>73</v>
      </c>
      <c r="C68" s="127" t="s">
        <v>232</v>
      </c>
      <c r="D68" s="106">
        <v>3</v>
      </c>
      <c r="E68" s="123">
        <v>2</v>
      </c>
      <c r="F68" s="106" t="s">
        <v>180</v>
      </c>
      <c r="G68" s="136" t="s">
        <v>190</v>
      </c>
      <c r="H68" s="20">
        <v>8</v>
      </c>
      <c r="I68" s="124" t="s">
        <v>167</v>
      </c>
      <c r="J68" s="107" t="s">
        <v>155</v>
      </c>
      <c r="K68" s="59">
        <v>2</v>
      </c>
      <c r="L68" s="245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 hidden="1">
      <c r="A69" s="65" t="s">
        <v>104</v>
      </c>
      <c r="B69" s="66" t="s">
        <v>73</v>
      </c>
      <c r="C69" s="127" t="s">
        <v>233</v>
      </c>
      <c r="D69" s="106">
        <v>1</v>
      </c>
      <c r="E69" s="123">
        <v>2</v>
      </c>
      <c r="F69" s="106" t="s">
        <v>180</v>
      </c>
      <c r="G69" s="136" t="s">
        <v>190</v>
      </c>
      <c r="H69" s="20">
        <v>2</v>
      </c>
      <c r="I69" s="124" t="s">
        <v>167</v>
      </c>
      <c r="J69" s="107" t="s">
        <v>234</v>
      </c>
      <c r="K69" s="59">
        <v>2</v>
      </c>
      <c r="L69" s="245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 hidden="1">
      <c r="A70" s="65" t="s">
        <v>104</v>
      </c>
      <c r="B70" s="66" t="s">
        <v>73</v>
      </c>
      <c r="C70" s="127" t="s">
        <v>235</v>
      </c>
      <c r="D70" s="106">
        <v>2</v>
      </c>
      <c r="E70" s="123">
        <v>2</v>
      </c>
      <c r="F70" s="106" t="s">
        <v>197</v>
      </c>
      <c r="G70" s="136" t="s">
        <v>190</v>
      </c>
      <c r="H70" s="20"/>
      <c r="I70" s="124" t="s">
        <v>167</v>
      </c>
      <c r="J70" s="76" t="s">
        <v>51</v>
      </c>
      <c r="K70" s="59">
        <v>2</v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 hidden="1">
      <c r="A71" s="65" t="s">
        <v>104</v>
      </c>
      <c r="B71" s="66" t="s">
        <v>236</v>
      </c>
      <c r="C71" s="127" t="s">
        <v>237</v>
      </c>
      <c r="D71" s="106">
        <v>1</v>
      </c>
      <c r="E71" s="121">
        <v>3</v>
      </c>
      <c r="F71" s="106" t="s">
        <v>201</v>
      </c>
      <c r="G71" s="106" t="s">
        <v>238</v>
      </c>
      <c r="H71" s="20">
        <v>56</v>
      </c>
      <c r="I71" s="124" t="s">
        <v>50</v>
      </c>
      <c r="J71" s="107" t="s">
        <v>199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>
      <c r="A72" s="65" t="s">
        <v>116</v>
      </c>
      <c r="B72" s="66" t="s">
        <v>45</v>
      </c>
      <c r="C72" s="240" t="s">
        <v>239</v>
      </c>
      <c r="D72" s="20">
        <v>2</v>
      </c>
      <c r="E72" s="104">
        <v>4</v>
      </c>
      <c r="F72" s="20" t="s">
        <v>173</v>
      </c>
      <c r="G72" s="106" t="s">
        <v>174</v>
      </c>
      <c r="H72" s="106">
        <v>32</v>
      </c>
      <c r="I72" s="20" t="s">
        <v>50</v>
      </c>
      <c r="J72" s="137" t="s">
        <v>240</v>
      </c>
      <c r="K72" s="124"/>
      <c r="L72" s="245" t="s">
        <v>364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40" t="s">
        <v>241</v>
      </c>
      <c r="D73" s="106">
        <v>6</v>
      </c>
      <c r="E73" s="121">
        <v>3</v>
      </c>
      <c r="F73" s="20" t="s">
        <v>173</v>
      </c>
      <c r="G73" s="106" t="s">
        <v>62</v>
      </c>
      <c r="H73" s="20">
        <v>24</v>
      </c>
      <c r="I73" s="124" t="s">
        <v>50</v>
      </c>
      <c r="J73" s="137" t="s">
        <v>242</v>
      </c>
      <c r="K73" s="59">
        <v>2</v>
      </c>
      <c r="L73" s="245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127" t="s">
        <v>243</v>
      </c>
      <c r="D74" s="106">
        <v>2</v>
      </c>
      <c r="E74" s="121">
        <v>3</v>
      </c>
      <c r="F74" s="106" t="s">
        <v>173</v>
      </c>
      <c r="G74" s="106" t="s">
        <v>62</v>
      </c>
      <c r="H74" s="20">
        <v>182</v>
      </c>
      <c r="I74" s="124" t="s">
        <v>301</v>
      </c>
      <c r="J74" s="120" t="s">
        <v>124</v>
      </c>
      <c r="K74" s="59">
        <v>2</v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244</v>
      </c>
      <c r="D75" s="106">
        <v>1</v>
      </c>
      <c r="E75" s="121">
        <v>3</v>
      </c>
      <c r="F75" s="106" t="s">
        <v>173</v>
      </c>
      <c r="G75" s="106" t="s">
        <v>62</v>
      </c>
      <c r="H75" s="20">
        <v>75</v>
      </c>
      <c r="I75" s="124" t="s">
        <v>301</v>
      </c>
      <c r="J75" s="120" t="s">
        <v>124</v>
      </c>
      <c r="K75" s="59">
        <v>2</v>
      </c>
      <c r="L75" s="42"/>
      <c r="M75" s="252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245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126</v>
      </c>
      <c r="I76" s="124" t="s">
        <v>301</v>
      </c>
      <c r="J76" s="120" t="s">
        <v>124</v>
      </c>
      <c r="K76" s="59">
        <v>2</v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239" t="s">
        <v>246</v>
      </c>
      <c r="D77" s="106">
        <v>1</v>
      </c>
      <c r="E77" s="128">
        <v>1.5</v>
      </c>
      <c r="F77" s="106" t="s">
        <v>173</v>
      </c>
      <c r="G77" s="106" t="s">
        <v>48</v>
      </c>
      <c r="H77" s="20"/>
      <c r="I77" s="48" t="s">
        <v>302</v>
      </c>
      <c r="J77" s="131" t="s">
        <v>51</v>
      </c>
      <c r="K77" s="46">
        <v>1</v>
      </c>
      <c r="L77" s="245" t="s">
        <v>364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127" t="s">
        <v>247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20" t="s">
        <v>167</v>
      </c>
      <c r="J78" s="120" t="s">
        <v>124</v>
      </c>
      <c r="K78" s="46"/>
      <c r="L78" s="245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248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48" t="s">
        <v>302</v>
      </c>
      <c r="J79" s="120" t="s">
        <v>124</v>
      </c>
      <c r="K79" s="46">
        <v>1</v>
      </c>
      <c r="L79" s="245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249</v>
      </c>
      <c r="D80" s="106">
        <v>4</v>
      </c>
      <c r="E80" s="121">
        <v>3</v>
      </c>
      <c r="F80" s="106" t="s">
        <v>173</v>
      </c>
      <c r="G80" s="106" t="s">
        <v>62</v>
      </c>
      <c r="H80" s="20">
        <v>10</v>
      </c>
      <c r="I80" s="124" t="s">
        <v>50</v>
      </c>
      <c r="J80" s="120" t="s">
        <v>124</v>
      </c>
      <c r="K80" s="59">
        <v>2</v>
      </c>
      <c r="L80" s="245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250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301</v>
      </c>
      <c r="J81" s="120" t="s">
        <v>124</v>
      </c>
      <c r="K81" s="59">
        <v>2</v>
      </c>
      <c r="L81" s="245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239" t="s">
        <v>251</v>
      </c>
      <c r="D82" s="106">
        <v>4</v>
      </c>
      <c r="E82" s="128">
        <v>1.5</v>
      </c>
      <c r="F82" s="106" t="s">
        <v>173</v>
      </c>
      <c r="G82" s="106" t="s">
        <v>48</v>
      </c>
      <c r="H82" s="20">
        <v>48</v>
      </c>
      <c r="I82" s="48" t="s">
        <v>303</v>
      </c>
      <c r="J82" s="76" t="s">
        <v>252</v>
      </c>
      <c r="K82" s="46">
        <v>1</v>
      </c>
      <c r="L82" s="245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232" t="s">
        <v>116</v>
      </c>
      <c r="B83" s="232" t="s">
        <v>45</v>
      </c>
      <c r="C83" s="239" t="s">
        <v>363</v>
      </c>
      <c r="D83" s="122">
        <v>8</v>
      </c>
      <c r="E83" s="128">
        <v>1.5</v>
      </c>
      <c r="F83" s="122" t="s">
        <v>173</v>
      </c>
      <c r="G83" s="122" t="s">
        <v>48</v>
      </c>
      <c r="H83" s="124"/>
      <c r="I83" s="124" t="s">
        <v>50</v>
      </c>
      <c r="J83" s="76" t="s">
        <v>252</v>
      </c>
      <c r="K83" s="46">
        <v>1</v>
      </c>
      <c r="L83" s="245" t="s">
        <v>364</v>
      </c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"/>
      <c r="X83" s="5"/>
      <c r="Y83" s="5"/>
      <c r="Z83" s="5"/>
      <c r="AA83" s="5"/>
      <c r="AB83" s="5"/>
      <c r="AC83" s="5"/>
    </row>
    <row r="84" spans="1:29" ht="13.2">
      <c r="A84" s="248" t="s">
        <v>116</v>
      </c>
      <c r="B84" s="248" t="s">
        <v>45</v>
      </c>
      <c r="C84" s="253" t="s">
        <v>371</v>
      </c>
      <c r="D84" s="122">
        <v>2</v>
      </c>
      <c r="E84" s="121">
        <v>3</v>
      </c>
      <c r="F84" s="122" t="s">
        <v>201</v>
      </c>
      <c r="G84" s="122" t="s">
        <v>62</v>
      </c>
      <c r="H84" s="124"/>
      <c r="I84" s="124" t="s">
        <v>50</v>
      </c>
      <c r="J84" s="254" t="s">
        <v>51</v>
      </c>
      <c r="K84" s="46"/>
      <c r="L84" s="245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31" t="s">
        <v>116</v>
      </c>
      <c r="B85" s="231" t="s">
        <v>45</v>
      </c>
      <c r="C85" s="127" t="s">
        <v>253</v>
      </c>
      <c r="D85" s="122">
        <v>2</v>
      </c>
      <c r="E85" s="128">
        <v>1.5</v>
      </c>
      <c r="F85" s="122" t="s">
        <v>180</v>
      </c>
      <c r="G85" s="122" t="s">
        <v>48</v>
      </c>
      <c r="H85" s="124">
        <v>52</v>
      </c>
      <c r="I85" s="48" t="s">
        <v>303</v>
      </c>
      <c r="J85" s="107" t="s">
        <v>254</v>
      </c>
      <c r="K85" s="59">
        <v>2</v>
      </c>
      <c r="L85" s="245" t="s">
        <v>364</v>
      </c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 hidden="1">
      <c r="A86" s="65" t="s">
        <v>116</v>
      </c>
      <c r="B86" s="231" t="s">
        <v>73</v>
      </c>
      <c r="C86" s="127" t="s">
        <v>361</v>
      </c>
      <c r="D86" s="106">
        <v>2</v>
      </c>
      <c r="E86" s="123">
        <v>2</v>
      </c>
      <c r="F86" s="106" t="s">
        <v>180</v>
      </c>
      <c r="G86" s="136" t="s">
        <v>190</v>
      </c>
      <c r="H86" s="20"/>
      <c r="I86" s="124" t="s">
        <v>167</v>
      </c>
      <c r="J86" s="107" t="s">
        <v>51</v>
      </c>
      <c r="K86" s="59">
        <v>2</v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5"/>
      <c r="X86" s="5"/>
      <c r="Y86" s="5"/>
      <c r="Z86" s="5"/>
      <c r="AA86" s="5"/>
      <c r="AB86" s="5"/>
      <c r="AC86" s="5"/>
    </row>
    <row r="87" spans="1:29" ht="13.2" hidden="1">
      <c r="A87" s="65" t="s">
        <v>116</v>
      </c>
      <c r="B87" s="66" t="s">
        <v>73</v>
      </c>
      <c r="C87" s="127" t="s">
        <v>255</v>
      </c>
      <c r="D87" s="106">
        <v>2</v>
      </c>
      <c r="E87" s="138">
        <v>3</v>
      </c>
      <c r="F87" s="106" t="s">
        <v>180</v>
      </c>
      <c r="G87" s="106" t="s">
        <v>138</v>
      </c>
      <c r="H87" s="20">
        <v>184</v>
      </c>
      <c r="I87" s="124" t="s">
        <v>167</v>
      </c>
      <c r="J87" s="120" t="s">
        <v>124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 hidden="1">
      <c r="A88" s="65" t="s">
        <v>116</v>
      </c>
      <c r="B88" s="66" t="s">
        <v>73</v>
      </c>
      <c r="C88" s="127" t="s">
        <v>256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257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 hidden="1">
      <c r="A89" s="251" t="s">
        <v>116</v>
      </c>
      <c r="B89" s="251" t="s">
        <v>73</v>
      </c>
      <c r="C89" s="255" t="s">
        <v>257</v>
      </c>
      <c r="D89" s="256">
        <v>1</v>
      </c>
      <c r="E89" s="257">
        <v>3</v>
      </c>
      <c r="F89" s="256" t="s">
        <v>180</v>
      </c>
      <c r="G89" s="256" t="s">
        <v>138</v>
      </c>
      <c r="H89" s="258">
        <v>10</v>
      </c>
      <c r="I89" s="258" t="s">
        <v>167</v>
      </c>
      <c r="J89" s="259" t="s">
        <v>124</v>
      </c>
      <c r="K89" s="260">
        <v>2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"/>
      <c r="X89" s="5"/>
      <c r="Y89" s="5"/>
      <c r="Z89" s="5"/>
      <c r="AA89" s="5"/>
      <c r="AB89" s="5"/>
      <c r="AC89" s="5"/>
    </row>
    <row r="90" spans="1:29" ht="13.2" hidden="1">
      <c r="A90" s="220" t="s">
        <v>116</v>
      </c>
      <c r="B90" s="251" t="s">
        <v>73</v>
      </c>
      <c r="C90" s="272" t="s">
        <v>372</v>
      </c>
      <c r="D90" s="268">
        <v>1</v>
      </c>
      <c r="E90" s="123">
        <v>2</v>
      </c>
      <c r="F90" s="256" t="s">
        <v>180</v>
      </c>
      <c r="G90" s="136" t="s">
        <v>190</v>
      </c>
      <c r="H90" s="269"/>
      <c r="I90" s="269" t="s">
        <v>87</v>
      </c>
      <c r="J90" s="131" t="s">
        <v>51</v>
      </c>
      <c r="K90" s="270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"/>
      <c r="X90" s="5"/>
      <c r="Y90" s="5"/>
      <c r="Z90" s="5"/>
      <c r="AA90" s="5"/>
      <c r="AB90" s="5"/>
      <c r="AC90" s="5"/>
    </row>
    <row r="91" spans="1:29" ht="13.2" hidden="1">
      <c r="A91" s="220" t="s">
        <v>116</v>
      </c>
      <c r="B91" s="251" t="s">
        <v>73</v>
      </c>
      <c r="C91" s="272" t="s">
        <v>373</v>
      </c>
      <c r="D91" s="268">
        <v>1</v>
      </c>
      <c r="E91" s="123">
        <v>2</v>
      </c>
      <c r="F91" s="256" t="s">
        <v>180</v>
      </c>
      <c r="G91" s="136" t="s">
        <v>190</v>
      </c>
      <c r="H91" s="269"/>
      <c r="I91" s="258" t="s">
        <v>167</v>
      </c>
      <c r="J91" s="131" t="s">
        <v>51</v>
      </c>
      <c r="K91" s="270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"/>
      <c r="X91" s="5"/>
      <c r="Y91" s="5"/>
      <c r="Z91" s="5"/>
      <c r="AA91" s="5"/>
      <c r="AB91" s="5"/>
      <c r="AC91" s="5"/>
    </row>
    <row r="92" spans="1:29" ht="13.2" hidden="1">
      <c r="A92" s="220" t="s">
        <v>116</v>
      </c>
      <c r="B92" s="251" t="s">
        <v>73</v>
      </c>
      <c r="C92" s="272" t="s">
        <v>374</v>
      </c>
      <c r="D92" s="268">
        <v>1</v>
      </c>
      <c r="E92" s="123">
        <v>2</v>
      </c>
      <c r="F92" s="256" t="s">
        <v>180</v>
      </c>
      <c r="G92" s="136" t="s">
        <v>190</v>
      </c>
      <c r="H92" s="271"/>
      <c r="I92" s="258" t="s">
        <v>167</v>
      </c>
      <c r="J92" s="131" t="s">
        <v>51</v>
      </c>
      <c r="K92" s="271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5"/>
      <c r="X92" s="5"/>
      <c r="Y92" s="5"/>
      <c r="Z92" s="5"/>
      <c r="AA92" s="5"/>
      <c r="AB92" s="5"/>
      <c r="AC92" s="5"/>
    </row>
    <row r="93" spans="1:29" ht="13.2">
      <c r="A93" s="220" t="s">
        <v>258</v>
      </c>
      <c r="B93" s="220" t="s">
        <v>45</v>
      </c>
      <c r="C93" s="273" t="s">
        <v>259</v>
      </c>
      <c r="D93" s="262">
        <v>2</v>
      </c>
      <c r="E93" s="263">
        <v>1.5</v>
      </c>
      <c r="F93" s="262" t="s">
        <v>173</v>
      </c>
      <c r="G93" s="262" t="s">
        <v>48</v>
      </c>
      <c r="H93" s="264">
        <f t="shared" ref="H93:H99" si="0">4*D93</f>
        <v>8</v>
      </c>
      <c r="I93" s="265" t="s">
        <v>303</v>
      </c>
      <c r="J93" s="266" t="s">
        <v>260</v>
      </c>
      <c r="K93" s="267">
        <v>1</v>
      </c>
      <c r="L93" s="245" t="s">
        <v>364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261" t="s">
        <v>258</v>
      </c>
      <c r="B94" s="261" t="s">
        <v>45</v>
      </c>
      <c r="C94" s="127" t="s">
        <v>261</v>
      </c>
      <c r="D94" s="106">
        <v>2</v>
      </c>
      <c r="E94" s="128">
        <v>1.5</v>
      </c>
      <c r="F94" s="106" t="s">
        <v>173</v>
      </c>
      <c r="G94" s="106" t="s">
        <v>48</v>
      </c>
      <c r="H94" s="124">
        <f t="shared" si="0"/>
        <v>8</v>
      </c>
      <c r="I94" s="48" t="s">
        <v>303</v>
      </c>
      <c r="J94" s="107" t="s">
        <v>262</v>
      </c>
      <c r="K94" s="46">
        <v>1</v>
      </c>
      <c r="L94" s="245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65" t="s">
        <v>258</v>
      </c>
      <c r="B95" s="66" t="s">
        <v>45</v>
      </c>
      <c r="C95" s="127" t="s">
        <v>263</v>
      </c>
      <c r="D95" s="106">
        <v>2</v>
      </c>
      <c r="E95" s="121">
        <v>3</v>
      </c>
      <c r="F95" s="106" t="s">
        <v>173</v>
      </c>
      <c r="G95" s="106" t="s">
        <v>62</v>
      </c>
      <c r="H95" s="124">
        <f t="shared" si="0"/>
        <v>8</v>
      </c>
      <c r="I95" s="124" t="s">
        <v>50</v>
      </c>
      <c r="J95" s="107" t="s">
        <v>161</v>
      </c>
      <c r="K95" s="59">
        <v>2</v>
      </c>
      <c r="L95" s="245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67" t="s">
        <v>264</v>
      </c>
      <c r="D96" s="20">
        <v>1</v>
      </c>
      <c r="E96" s="128">
        <v>1.5</v>
      </c>
      <c r="F96" s="106" t="s">
        <v>173</v>
      </c>
      <c r="G96" s="106" t="s">
        <v>48</v>
      </c>
      <c r="H96" s="124">
        <f t="shared" si="0"/>
        <v>4</v>
      </c>
      <c r="I96" s="48" t="s">
        <v>303</v>
      </c>
      <c r="J96" s="107" t="s">
        <v>265</v>
      </c>
      <c r="K96" s="46">
        <v>1</v>
      </c>
      <c r="L96" s="245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266</v>
      </c>
      <c r="D97" s="20">
        <v>3</v>
      </c>
      <c r="E97" s="128">
        <v>1.5</v>
      </c>
      <c r="F97" s="106" t="s">
        <v>173</v>
      </c>
      <c r="G97" s="106" t="s">
        <v>48</v>
      </c>
      <c r="H97" s="124">
        <f t="shared" si="0"/>
        <v>12</v>
      </c>
      <c r="I97" s="48" t="s">
        <v>303</v>
      </c>
      <c r="J97" s="131" t="s">
        <v>51</v>
      </c>
      <c r="K97" s="59">
        <v>2</v>
      </c>
      <c r="L97" s="245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267</v>
      </c>
      <c r="D98" s="20">
        <v>4</v>
      </c>
      <c r="E98" s="128">
        <v>1.5</v>
      </c>
      <c r="F98" s="106" t="s">
        <v>173</v>
      </c>
      <c r="G98" s="106" t="s">
        <v>48</v>
      </c>
      <c r="H98" s="124">
        <f t="shared" si="0"/>
        <v>16</v>
      </c>
      <c r="I98" s="48" t="s">
        <v>303</v>
      </c>
      <c r="J98" s="107" t="s">
        <v>268</v>
      </c>
      <c r="K98" s="46">
        <v>1</v>
      </c>
      <c r="L98" s="245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65" t="s">
        <v>258</v>
      </c>
      <c r="B99" s="66" t="s">
        <v>45</v>
      </c>
      <c r="C99" s="67" t="s">
        <v>269</v>
      </c>
      <c r="D99" s="20">
        <v>1</v>
      </c>
      <c r="E99" s="128">
        <v>1.5</v>
      </c>
      <c r="F99" s="106" t="s">
        <v>173</v>
      </c>
      <c r="G99" s="106" t="s">
        <v>48</v>
      </c>
      <c r="H99" s="124">
        <f t="shared" si="0"/>
        <v>4</v>
      </c>
      <c r="I99" s="48" t="s">
        <v>303</v>
      </c>
      <c r="J99" s="107" t="s">
        <v>270</v>
      </c>
      <c r="K99" s="46">
        <v>1</v>
      </c>
      <c r="L99" s="245" t="s">
        <v>364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65" t="s">
        <v>258</v>
      </c>
      <c r="B100" s="66" t="s">
        <v>45</v>
      </c>
      <c r="C100" s="67" t="s">
        <v>271</v>
      </c>
      <c r="D100" s="20">
        <v>1</v>
      </c>
      <c r="E100" s="128">
        <v>1.5</v>
      </c>
      <c r="F100" s="106" t="s">
        <v>173</v>
      </c>
      <c r="G100" s="106" t="s">
        <v>48</v>
      </c>
      <c r="H100" s="124"/>
      <c r="I100" s="48" t="s">
        <v>303</v>
      </c>
      <c r="J100" s="107" t="s">
        <v>260</v>
      </c>
      <c r="K100" s="46">
        <v>1</v>
      </c>
      <c r="L100" s="245" t="s">
        <v>364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65" t="s">
        <v>258</v>
      </c>
      <c r="B101" s="66" t="s">
        <v>45</v>
      </c>
      <c r="C101" s="67" t="s">
        <v>272</v>
      </c>
      <c r="D101" s="20">
        <v>6</v>
      </c>
      <c r="E101" s="128">
        <v>1.5</v>
      </c>
      <c r="F101" s="106" t="s">
        <v>180</v>
      </c>
      <c r="G101" s="106" t="s">
        <v>48</v>
      </c>
      <c r="H101" s="124">
        <f>4*D101</f>
        <v>24</v>
      </c>
      <c r="I101" s="48" t="s">
        <v>303</v>
      </c>
      <c r="J101" s="107" t="s">
        <v>260</v>
      </c>
      <c r="K101" s="46">
        <v>1</v>
      </c>
      <c r="L101" s="245" t="s">
        <v>364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 hidden="1">
      <c r="A102" s="139" t="s">
        <v>258</v>
      </c>
      <c r="B102" s="140" t="s">
        <v>73</v>
      </c>
      <c r="C102" s="67" t="s">
        <v>273</v>
      </c>
      <c r="D102" s="106">
        <v>1</v>
      </c>
      <c r="E102" s="141">
        <v>2</v>
      </c>
      <c r="F102" s="106" t="s">
        <v>201</v>
      </c>
      <c r="G102" s="106" t="s">
        <v>190</v>
      </c>
      <c r="H102" s="124"/>
      <c r="I102" s="20" t="s">
        <v>167</v>
      </c>
      <c r="J102" s="107" t="s">
        <v>274</v>
      </c>
      <c r="K102" s="124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>
      <c r="A103" s="42"/>
      <c r="B103" s="5"/>
      <c r="C103" s="6"/>
      <c r="D103" s="5"/>
      <c r="E103" s="5"/>
      <c r="F103" s="5"/>
      <c r="G103" s="5"/>
      <c r="H103" s="5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A104" s="42"/>
      <c r="B104" s="5"/>
      <c r="C104" s="6"/>
      <c r="D104" s="5"/>
      <c r="E104" s="5"/>
      <c r="F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C106" s="6"/>
      <c r="D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C107" s="6"/>
      <c r="D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A108" s="42"/>
      <c r="B108" s="5"/>
      <c r="C108" s="6"/>
      <c r="D108" s="5"/>
      <c r="E108" s="5"/>
      <c r="F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A1101" s="42"/>
      <c r="B1101" s="5"/>
      <c r="C1101" s="6"/>
      <c r="D1101" s="5"/>
      <c r="E1101" s="5"/>
      <c r="F1101" s="5"/>
      <c r="G1101" s="5"/>
      <c r="H1101" s="5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  <row r="1102" spans="1:29" ht="13.2">
      <c r="A1102" s="42"/>
      <c r="B1102" s="5"/>
      <c r="C1102" s="6"/>
      <c r="D1102" s="5"/>
      <c r="E1102" s="5"/>
      <c r="F1102" s="5"/>
      <c r="G1102" s="5"/>
      <c r="H1102" s="5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5"/>
      <c r="X1102" s="5"/>
      <c r="Y1102" s="5"/>
      <c r="Z1102" s="5"/>
      <c r="AA1102" s="5"/>
      <c r="AB1102" s="5"/>
      <c r="AC1102" s="5"/>
    </row>
    <row r="1103" spans="1:29" ht="13.2">
      <c r="A1103" s="42"/>
      <c r="B1103" s="5"/>
      <c r="C1103" s="6"/>
      <c r="D1103" s="5"/>
      <c r="E1103" s="5"/>
      <c r="F1103" s="5"/>
      <c r="G1103" s="5"/>
      <c r="H1103" s="5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5"/>
      <c r="X1103" s="5"/>
      <c r="Y1103" s="5"/>
      <c r="Z1103" s="5"/>
      <c r="AA1103" s="5"/>
      <c r="AB1103" s="5"/>
      <c r="AC1103" s="5"/>
    </row>
    <row r="1104" spans="1:29" ht="13.2"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5"/>
      <c r="X1104" s="5"/>
      <c r="Y1104" s="5"/>
      <c r="Z1104" s="5"/>
      <c r="AA1104" s="5"/>
      <c r="AB1104" s="5"/>
      <c r="AC1104" s="5"/>
    </row>
  </sheetData>
  <autoFilter ref="A24:J102" xr:uid="{00000000-0009-0000-0000-000003000000}">
    <filterColumn colId="1">
      <filters>
        <filter val="ACIER"/>
      </filters>
    </filterColumn>
  </autoFilter>
  <customSheetViews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</customSheetViews>
  <mergeCells count="6">
    <mergeCell ref="A6:K6"/>
    <mergeCell ref="C19:E19"/>
    <mergeCell ref="A19:A21"/>
    <mergeCell ref="A14:B14"/>
    <mergeCell ref="E9:E10"/>
    <mergeCell ref="A15:E15"/>
  </mergeCells>
  <conditionalFormatting sqref="I77 I79 I54:I55 I98:I101 I96 I93:I94 I82">
    <cfRule type="cellIs" dxfId="69" priority="66" operator="equal">
      <formula>"Prêt à partir"</formula>
    </cfRule>
  </conditionalFormatting>
  <conditionalFormatting sqref="I93:I94 I86:I91 I25:I82 I96:I102">
    <cfRule type="cellIs" dxfId="68" priority="67" operator="equal">
      <formula>"MEP validée"</formula>
    </cfRule>
  </conditionalFormatting>
  <conditionalFormatting sqref="I93:I94 I86:I91 I25:I82 I96:I102">
    <cfRule type="cellIs" dxfId="67" priority="68" operator="equal">
      <formula>"MEP à vérifier"</formula>
    </cfRule>
  </conditionalFormatting>
  <conditionalFormatting sqref="I93:I94 I86:I91 I25:I82 I96:I102">
    <cfRule type="cellIs" dxfId="66" priority="69" operator="equal">
      <formula>"MEP en cours"</formula>
    </cfRule>
  </conditionalFormatting>
  <conditionalFormatting sqref="I93:I94 I86:I91 I25:I82 I96:I102">
    <cfRule type="cellIs" dxfId="65" priority="70" operator="equal">
      <formula>"En production"</formula>
    </cfRule>
  </conditionalFormatting>
  <conditionalFormatting sqref="I93:I94 I86:I91 I25:I82 I96:I102">
    <cfRule type="cellIs" dxfId="64" priority="71" operator="equal">
      <formula>"Reçu"</formula>
    </cfRule>
  </conditionalFormatting>
  <conditionalFormatting sqref="I93:I94 I86:I91 I25:I82 I96:I102">
    <cfRule type="cellIs" dxfId="63" priority="72" operator="equal">
      <formula>"Prêt à partir"</formula>
    </cfRule>
  </conditionalFormatting>
  <conditionalFormatting sqref="I85">
    <cfRule type="cellIs" dxfId="62" priority="53" operator="equal">
      <formula>"Prêt à partir"</formula>
    </cfRule>
  </conditionalFormatting>
  <conditionalFormatting sqref="I85">
    <cfRule type="cellIs" dxfId="61" priority="54" operator="equal">
      <formula>"MEP validée"</formula>
    </cfRule>
  </conditionalFormatting>
  <conditionalFormatting sqref="I85">
    <cfRule type="cellIs" dxfId="60" priority="55" operator="equal">
      <formula>"MEP à vérifier"</formula>
    </cfRule>
  </conditionalFormatting>
  <conditionalFormatting sqref="I85">
    <cfRule type="cellIs" dxfId="59" priority="56" operator="equal">
      <formula>"MEP en cours"</formula>
    </cfRule>
  </conditionalFormatting>
  <conditionalFormatting sqref="I85">
    <cfRule type="cellIs" dxfId="58" priority="57" operator="equal">
      <formula>"En production"</formula>
    </cfRule>
  </conditionalFormatting>
  <conditionalFormatting sqref="I85">
    <cfRule type="cellIs" dxfId="57" priority="58" operator="equal">
      <formula>"Reçu"</formula>
    </cfRule>
  </conditionalFormatting>
  <conditionalFormatting sqref="I85">
    <cfRule type="cellIs" dxfId="56" priority="59" operator="equal">
      <formula>"Prêt à partir"</formula>
    </cfRule>
  </conditionalFormatting>
  <conditionalFormatting sqref="I97">
    <cfRule type="cellIs" dxfId="55" priority="52" operator="equal">
      <formula>"Prêt à partir"</formula>
    </cfRule>
  </conditionalFormatting>
  <conditionalFormatting sqref="I42">
    <cfRule type="cellIs" dxfId="54" priority="51" operator="equal">
      <formula>"Prêt à partir"</formula>
    </cfRule>
  </conditionalFormatting>
  <conditionalFormatting sqref="I43">
    <cfRule type="cellIs" dxfId="53" priority="50" operator="equal">
      <formula>"Prêt à partir"</formula>
    </cfRule>
  </conditionalFormatting>
  <conditionalFormatting sqref="I92">
    <cfRule type="cellIs" dxfId="52" priority="19" operator="equal">
      <formula>"MEP validée"</formula>
    </cfRule>
  </conditionalFormatting>
  <conditionalFormatting sqref="I92">
    <cfRule type="cellIs" dxfId="51" priority="20" operator="equal">
      <formula>"MEP à vérifier"</formula>
    </cfRule>
  </conditionalFormatting>
  <conditionalFormatting sqref="I92">
    <cfRule type="cellIs" dxfId="50" priority="21" operator="equal">
      <formula>"MEP en cours"</formula>
    </cfRule>
  </conditionalFormatting>
  <conditionalFormatting sqref="I92">
    <cfRule type="cellIs" dxfId="49" priority="22" operator="equal">
      <formula>"En production"</formula>
    </cfRule>
  </conditionalFormatting>
  <conditionalFormatting sqref="I92">
    <cfRule type="cellIs" dxfId="48" priority="23" operator="equal">
      <formula>"Reçu"</formula>
    </cfRule>
  </conditionalFormatting>
  <conditionalFormatting sqref="I92">
    <cfRule type="cellIs" dxfId="47" priority="24" operator="equal">
      <formula>"Prêt à partir"</formula>
    </cfRule>
  </conditionalFormatting>
  <conditionalFormatting sqref="I83">
    <cfRule type="cellIs" dxfId="46" priority="13" operator="equal">
      <formula>"MEP validée"</formula>
    </cfRule>
  </conditionalFormatting>
  <conditionalFormatting sqref="I83">
    <cfRule type="cellIs" dxfId="45" priority="14" operator="equal">
      <formula>"MEP à vérifier"</formula>
    </cfRule>
  </conditionalFormatting>
  <conditionalFormatting sqref="I83">
    <cfRule type="cellIs" dxfId="44" priority="15" operator="equal">
      <formula>"MEP en cours"</formula>
    </cfRule>
  </conditionalFormatting>
  <conditionalFormatting sqref="I83">
    <cfRule type="cellIs" dxfId="43" priority="16" operator="equal">
      <formula>"En production"</formula>
    </cfRule>
  </conditionalFormatting>
  <conditionalFormatting sqref="I83">
    <cfRule type="cellIs" dxfId="42" priority="17" operator="equal">
      <formula>"Reçu"</formula>
    </cfRule>
  </conditionalFormatting>
  <conditionalFormatting sqref="I83">
    <cfRule type="cellIs" dxfId="41" priority="18" operator="equal">
      <formula>"Prêt à partir"</formula>
    </cfRule>
  </conditionalFormatting>
  <conditionalFormatting sqref="I84">
    <cfRule type="cellIs" dxfId="40" priority="7" operator="equal">
      <formula>"MEP validée"</formula>
    </cfRule>
  </conditionalFormatting>
  <conditionalFormatting sqref="I84">
    <cfRule type="cellIs" dxfId="39" priority="8" operator="equal">
      <formula>"MEP à vérifier"</formula>
    </cfRule>
  </conditionalFormatting>
  <conditionalFormatting sqref="I84">
    <cfRule type="cellIs" dxfId="38" priority="9" operator="equal">
      <formula>"MEP en cours"</formula>
    </cfRule>
  </conditionalFormatting>
  <conditionalFormatting sqref="I84">
    <cfRule type="cellIs" dxfId="37" priority="10" operator="equal">
      <formula>"En production"</formula>
    </cfRule>
  </conditionalFormatting>
  <conditionalFormatting sqref="I84">
    <cfRule type="cellIs" dxfId="36" priority="11" operator="equal">
      <formula>"Reçu"</formula>
    </cfRule>
  </conditionalFormatting>
  <conditionalFormatting sqref="I84">
    <cfRule type="cellIs" dxfId="35" priority="12" operator="equal">
      <formula>"Prêt à partir"</formula>
    </cfRule>
  </conditionalFormatting>
  <conditionalFormatting sqref="I95">
    <cfRule type="cellIs" dxfId="5" priority="1" operator="equal">
      <formula>"MEP validée"</formula>
    </cfRule>
  </conditionalFormatting>
  <conditionalFormatting sqref="I95">
    <cfRule type="cellIs" dxfId="4" priority="2" operator="equal">
      <formula>"MEP à vérifier"</formula>
    </cfRule>
  </conditionalFormatting>
  <conditionalFormatting sqref="I95">
    <cfRule type="cellIs" dxfId="3" priority="3" operator="equal">
      <formula>"MEP en cours"</formula>
    </cfRule>
  </conditionalFormatting>
  <conditionalFormatting sqref="I95">
    <cfRule type="cellIs" dxfId="2" priority="4" operator="equal">
      <formula>"En production"</formula>
    </cfRule>
  </conditionalFormatting>
  <conditionalFormatting sqref="I95">
    <cfRule type="cellIs" dxfId="1" priority="5" operator="equal">
      <formula>"Reçu"</formula>
    </cfRule>
  </conditionalFormatting>
  <conditionalFormatting sqref="I95">
    <cfRule type="cellIs" dxfId="0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I25:I102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zoomScale="85" zoomScaleNormal="85" workbookViewId="0">
      <selection activeCell="H35" sqref="H35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92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89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43502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6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301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301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16" t="s">
        <v>50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6" t="s">
        <v>50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7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20" t="s">
        <v>44</v>
      </c>
      <c r="B35" s="220" t="s">
        <v>45</v>
      </c>
      <c r="C35" s="221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50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34" priority="25" operator="equal">
      <formula>"Prêt à partir"</formula>
    </cfRule>
  </conditionalFormatting>
  <conditionalFormatting sqref="H89:H1033 H15:H34">
    <cfRule type="cellIs" dxfId="33" priority="26" operator="equal">
      <formula>"MEP validée"</formula>
    </cfRule>
  </conditionalFormatting>
  <conditionalFormatting sqref="H89:H1033 H15:H34">
    <cfRule type="cellIs" dxfId="32" priority="27" operator="equal">
      <formula>"MEP à vérifier"</formula>
    </cfRule>
  </conditionalFormatting>
  <conditionalFormatting sqref="H89:H1033 H15:H34">
    <cfRule type="cellIs" dxfId="31" priority="28" operator="equal">
      <formula>"MEP en cours"</formula>
    </cfRule>
  </conditionalFormatting>
  <conditionalFormatting sqref="H89:H1033 H15:H34">
    <cfRule type="cellIs" dxfId="30" priority="29" operator="equal">
      <formula>"En production"</formula>
    </cfRule>
  </conditionalFormatting>
  <conditionalFormatting sqref="H89:H1033 H15:H34">
    <cfRule type="cellIs" dxfId="29" priority="30" operator="equal">
      <formula>"Reçu"</formula>
    </cfRule>
  </conditionalFormatting>
  <conditionalFormatting sqref="H35">
    <cfRule type="cellIs" dxfId="28" priority="13" operator="equal">
      <formula>"Prêt à partir"</formula>
    </cfRule>
  </conditionalFormatting>
  <conditionalFormatting sqref="H35">
    <cfRule type="cellIs" dxfId="27" priority="14" operator="equal">
      <formula>"MEP validée"</formula>
    </cfRule>
  </conditionalFormatting>
  <conditionalFormatting sqref="H35">
    <cfRule type="cellIs" dxfId="26" priority="15" operator="equal">
      <formula>"MEP à vérifier"</formula>
    </cfRule>
  </conditionalFormatting>
  <conditionalFormatting sqref="H35">
    <cfRule type="cellIs" dxfId="25" priority="16" operator="equal">
      <formula>"MEP en cours"</formula>
    </cfRule>
  </conditionalFormatting>
  <conditionalFormatting sqref="H35">
    <cfRule type="cellIs" dxfId="24" priority="17" operator="equal">
      <formula>"En production"</formula>
    </cfRule>
  </conditionalFormatting>
  <conditionalFormatting sqref="H35">
    <cfRule type="cellIs" dxfId="23" priority="18" operator="equal">
      <formula>"Reçu"</formula>
    </cfRule>
  </conditionalFormatting>
  <conditionalFormatting sqref="H36">
    <cfRule type="cellIs" dxfId="22" priority="1" operator="equal">
      <formula>"Prêt à partir"</formula>
    </cfRule>
  </conditionalFormatting>
  <conditionalFormatting sqref="H36">
    <cfRule type="cellIs" dxfId="21" priority="2" operator="equal">
      <formula>"MEP validée"</formula>
    </cfRule>
  </conditionalFormatting>
  <conditionalFormatting sqref="H36">
    <cfRule type="cellIs" dxfId="20" priority="3" operator="equal">
      <formula>"MEP à vérifier"</formula>
    </cfRule>
  </conditionalFormatting>
  <conditionalFormatting sqref="H36">
    <cfRule type="cellIs" dxfId="19" priority="4" operator="equal">
      <formula>"MEP en cours"</formula>
    </cfRule>
  </conditionalFormatting>
  <conditionalFormatting sqref="H36">
    <cfRule type="cellIs" dxfId="18" priority="5" operator="equal">
      <formula>"En production"</formula>
    </cfRule>
  </conditionalFormatting>
  <conditionalFormatting sqref="H36">
    <cfRule type="cellIs" dxfId="17" priority="6" operator="equal">
      <formula>"Reçu"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Statistiques!$A$6:$A$16</xm:f>
          </x14:formula1>
          <xm:sqref>H15:H36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96" t="s">
        <v>7</v>
      </c>
      <c r="E8" s="142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89"/>
      <c r="E9" s="142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3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43502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4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98" t="s">
        <v>44</v>
      </c>
      <c r="B16" s="297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99" t="s">
        <v>59</v>
      </c>
      <c r="J16" s="228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88"/>
      <c r="B17" s="288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88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88"/>
      <c r="B18" s="288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88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88"/>
      <c r="B19" s="288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88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88"/>
      <c r="B20" s="288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88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89"/>
      <c r="B21" s="289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89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5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6" priority="1" operator="equal">
      <formula>"MEP validée"</formula>
    </cfRule>
  </conditionalFormatting>
  <conditionalFormatting sqref="H16:H21">
    <cfRule type="cellIs" dxfId="15" priority="2" operator="equal">
      <formula>"MEP à vérifier"</formula>
    </cfRule>
  </conditionalFormatting>
  <conditionalFormatting sqref="H16:H21">
    <cfRule type="cellIs" dxfId="14" priority="3" operator="equal">
      <formula>"MEP en cours"</formula>
    </cfRule>
  </conditionalFormatting>
  <conditionalFormatting sqref="H16:H21">
    <cfRule type="cellIs" dxfId="13" priority="4" operator="equal">
      <formula>"En production"</formula>
    </cfRule>
  </conditionalFormatting>
  <conditionalFormatting sqref="H16:H21">
    <cfRule type="cellIs" dxfId="12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30" t="s">
        <v>7</v>
      </c>
      <c r="E8" s="229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75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89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43502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3" t="s">
        <v>290</v>
      </c>
      <c r="B16" s="234" t="s">
        <v>73</v>
      </c>
      <c r="C16" s="235" t="s">
        <v>291</v>
      </c>
      <c r="D16" s="235">
        <v>1</v>
      </c>
      <c r="E16" s="235"/>
      <c r="F16" s="235" t="s">
        <v>54</v>
      </c>
      <c r="G16" s="236" t="s">
        <v>292</v>
      </c>
      <c r="H16" s="235" t="s">
        <v>50</v>
      </c>
      <c r="I16" s="237" t="s">
        <v>158</v>
      </c>
      <c r="J16" s="23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11" priority="7" operator="equal">
      <formula>"MEP validée"</formula>
    </cfRule>
  </conditionalFormatting>
  <conditionalFormatting sqref="H16">
    <cfRule type="cellIs" dxfId="10" priority="8" operator="equal">
      <formula>"MEP à vérifier"</formula>
    </cfRule>
  </conditionalFormatting>
  <conditionalFormatting sqref="H16">
    <cfRule type="cellIs" dxfId="9" priority="9" operator="equal">
      <formula>"MEP en cours"</formula>
    </cfRule>
  </conditionalFormatting>
  <conditionalFormatting sqref="H16">
    <cfRule type="cellIs" dxfId="8" priority="10" operator="equal">
      <formula>"En production"</formula>
    </cfRule>
  </conditionalFormatting>
  <conditionalFormatting sqref="H16">
    <cfRule type="cellIs" dxfId="7" priority="11" operator="equal">
      <formula>"Reçu"</formula>
    </cfRule>
  </conditionalFormatting>
  <conditionalFormatting sqref="H16">
    <cfRule type="cellIs" dxfId="6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zoomScaleNormal="100" workbookViewId="0">
      <selection activeCell="C3" sqref="C3"/>
    </sheetView>
  </sheetViews>
  <sheetFormatPr defaultColWidth="10.88671875" defaultRowHeight="13.2"/>
  <cols>
    <col min="1" max="1" width="39.109375" style="214" customWidth="1"/>
    <col min="2" max="2" width="7" style="214" customWidth="1"/>
    <col min="3" max="3" width="14.5546875" style="214" customWidth="1"/>
    <col min="4" max="4" width="14.21875" style="214" customWidth="1"/>
    <col min="5" max="5" width="24.5546875" style="214" customWidth="1"/>
    <col min="6" max="16384" width="10.88671875" style="214"/>
  </cols>
  <sheetData>
    <row r="2" spans="1:5" ht="17.55" customHeight="1">
      <c r="A2" s="249" t="s">
        <v>366</v>
      </c>
      <c r="B2" s="249" t="s">
        <v>370</v>
      </c>
      <c r="C2" s="249" t="s">
        <v>367</v>
      </c>
      <c r="D2" s="249" t="s">
        <v>368</v>
      </c>
      <c r="E2" s="249" t="s">
        <v>369</v>
      </c>
    </row>
    <row r="3" spans="1:5" ht="22.8" customHeight="1">
      <c r="A3" s="216" t="s">
        <v>68</v>
      </c>
      <c r="B3" s="216"/>
      <c r="C3" s="216"/>
      <c r="D3" s="216"/>
      <c r="E3" s="216"/>
    </row>
    <row r="4" spans="1:5" ht="22.8" customHeight="1">
      <c r="A4" s="216" t="s">
        <v>97</v>
      </c>
      <c r="B4" s="216"/>
      <c r="C4" s="216"/>
      <c r="D4" s="216"/>
      <c r="E4" s="216"/>
    </row>
    <row r="5" spans="1:5" ht="22.8" customHeight="1">
      <c r="A5" s="216" t="s">
        <v>46</v>
      </c>
      <c r="B5" s="216"/>
      <c r="C5" s="216"/>
      <c r="D5" s="216"/>
      <c r="E5" s="216"/>
    </row>
    <row r="6" spans="1:5" ht="22.8" customHeight="1">
      <c r="A6" s="216" t="s">
        <v>53</v>
      </c>
      <c r="B6" s="216"/>
      <c r="C6" s="216"/>
      <c r="D6" s="216"/>
      <c r="E6" s="216"/>
    </row>
    <row r="7" spans="1:5" ht="22.8" customHeight="1">
      <c r="A7" s="216" t="s">
        <v>57</v>
      </c>
      <c r="B7" s="216"/>
      <c r="C7" s="216"/>
      <c r="D7" s="216"/>
      <c r="E7" s="216"/>
    </row>
    <row r="8" spans="1:5" ht="22.8" customHeight="1">
      <c r="A8" s="216" t="s">
        <v>172</v>
      </c>
      <c r="B8" s="216"/>
      <c r="C8" s="216"/>
      <c r="D8" s="216"/>
      <c r="E8" s="216"/>
    </row>
    <row r="9" spans="1:5" ht="22.8" customHeight="1">
      <c r="A9" s="216" t="s">
        <v>176</v>
      </c>
      <c r="B9" s="216"/>
      <c r="C9" s="216"/>
      <c r="D9" s="216"/>
      <c r="E9" s="216"/>
    </row>
    <row r="10" spans="1:5" ht="22.8" customHeight="1">
      <c r="A10" s="250" t="s">
        <v>178</v>
      </c>
      <c r="B10" s="216"/>
      <c r="C10" s="216"/>
      <c r="D10" s="216"/>
      <c r="E10" s="216"/>
    </row>
    <row r="11" spans="1:5" ht="22.8" customHeight="1">
      <c r="A11" s="250" t="s">
        <v>179</v>
      </c>
      <c r="B11" s="216"/>
      <c r="C11" s="216"/>
      <c r="D11" s="216"/>
      <c r="E11" s="216"/>
    </row>
    <row r="12" spans="1:5" ht="22.8" customHeight="1">
      <c r="A12" s="250" t="s">
        <v>181</v>
      </c>
      <c r="B12" s="216"/>
      <c r="C12" s="216"/>
      <c r="D12" s="216"/>
      <c r="E12" s="216"/>
    </row>
    <row r="13" spans="1:5" ht="22.8" customHeight="1">
      <c r="A13" s="250" t="s">
        <v>182</v>
      </c>
      <c r="B13" s="216"/>
      <c r="C13" s="216"/>
      <c r="D13" s="216"/>
      <c r="E13" s="216"/>
    </row>
    <row r="14" spans="1:5" ht="22.8" customHeight="1">
      <c r="A14" s="250" t="s">
        <v>183</v>
      </c>
      <c r="B14" s="216"/>
      <c r="C14" s="216"/>
      <c r="D14" s="216"/>
      <c r="E14" s="216"/>
    </row>
    <row r="15" spans="1:5" ht="22.8" customHeight="1">
      <c r="A15" s="250" t="s">
        <v>184</v>
      </c>
      <c r="B15" s="216"/>
      <c r="C15" s="216"/>
      <c r="D15" s="216"/>
      <c r="E15" s="216"/>
    </row>
    <row r="16" spans="1:5" ht="22.8" customHeight="1">
      <c r="A16" s="250" t="s">
        <v>185</v>
      </c>
      <c r="B16" s="216"/>
      <c r="C16" s="216"/>
      <c r="D16" s="216"/>
      <c r="E16" s="216"/>
    </row>
    <row r="17" spans="1:5" ht="22.8" customHeight="1">
      <c r="A17" s="250" t="s">
        <v>196</v>
      </c>
      <c r="B17" s="216"/>
      <c r="C17" s="216"/>
      <c r="D17" s="216"/>
      <c r="E17" s="216"/>
    </row>
    <row r="18" spans="1:5" ht="22.8" customHeight="1">
      <c r="A18" s="250" t="s">
        <v>203</v>
      </c>
      <c r="B18" s="216"/>
      <c r="C18" s="216"/>
      <c r="D18" s="216"/>
      <c r="E18" s="216"/>
    </row>
    <row r="19" spans="1:5" ht="22.8" customHeight="1">
      <c r="A19" s="250" t="s">
        <v>205</v>
      </c>
      <c r="B19" s="216"/>
      <c r="C19" s="216"/>
      <c r="D19" s="216"/>
      <c r="E19" s="216"/>
    </row>
    <row r="20" spans="1:5" ht="22.8" customHeight="1">
      <c r="A20" s="250" t="s">
        <v>210</v>
      </c>
      <c r="B20" s="216"/>
      <c r="C20" s="216"/>
      <c r="D20" s="216"/>
      <c r="E20" s="216"/>
    </row>
    <row r="21" spans="1:5" ht="22.8" customHeight="1">
      <c r="A21" s="250" t="s">
        <v>211</v>
      </c>
      <c r="B21" s="216"/>
      <c r="C21" s="216"/>
      <c r="D21" s="216"/>
      <c r="E21" s="216"/>
    </row>
    <row r="22" spans="1:5" ht="22.8" customHeight="1">
      <c r="A22" s="250" t="s">
        <v>213</v>
      </c>
      <c r="B22" s="216"/>
      <c r="C22" s="216"/>
      <c r="D22" s="216"/>
      <c r="E22" s="216"/>
    </row>
    <row r="23" spans="1:5" ht="22.8" customHeight="1">
      <c r="A23" s="250" t="s">
        <v>214</v>
      </c>
      <c r="B23" s="216"/>
      <c r="C23" s="216"/>
      <c r="D23" s="216"/>
      <c r="E23" s="216"/>
    </row>
    <row r="24" spans="1:5" ht="22.8" customHeight="1">
      <c r="A24" s="250" t="s">
        <v>215</v>
      </c>
      <c r="B24" s="216"/>
      <c r="C24" s="216"/>
      <c r="D24" s="216"/>
      <c r="E24" s="216"/>
    </row>
    <row r="25" spans="1:5" ht="22.8" customHeight="1">
      <c r="A25" s="250" t="s">
        <v>216</v>
      </c>
      <c r="B25" s="216"/>
      <c r="C25" s="216"/>
      <c r="D25" s="216"/>
      <c r="E25" s="216"/>
    </row>
    <row r="26" spans="1:5" ht="22.8" customHeight="1">
      <c r="A26" s="250" t="s">
        <v>217</v>
      </c>
      <c r="B26" s="216"/>
      <c r="C26" s="216"/>
      <c r="D26" s="216"/>
      <c r="E26" s="216"/>
    </row>
    <row r="27" spans="1:5" ht="22.8" customHeight="1">
      <c r="A27" s="250" t="s">
        <v>218</v>
      </c>
      <c r="B27" s="216"/>
      <c r="C27" s="216"/>
      <c r="D27" s="216"/>
      <c r="E27" s="216"/>
    </row>
    <row r="28" spans="1:5" ht="22.8" customHeight="1">
      <c r="A28" s="250" t="s">
        <v>230</v>
      </c>
      <c r="B28" s="216"/>
      <c r="C28" s="216"/>
      <c r="D28" s="216"/>
      <c r="E28" s="216"/>
    </row>
    <row r="29" spans="1:5" ht="22.8" customHeight="1">
      <c r="A29" s="250" t="s">
        <v>231</v>
      </c>
      <c r="B29" s="216"/>
      <c r="C29" s="216"/>
      <c r="D29" s="216"/>
      <c r="E29" s="216"/>
    </row>
    <row r="30" spans="1:5" ht="22.8" customHeight="1">
      <c r="A30" s="250" t="s">
        <v>232</v>
      </c>
      <c r="B30" s="216"/>
      <c r="C30" s="216"/>
      <c r="D30" s="216"/>
      <c r="E30" s="216"/>
    </row>
    <row r="31" spans="1:5" ht="22.8" customHeight="1">
      <c r="A31" s="250" t="s">
        <v>233</v>
      </c>
      <c r="B31" s="216"/>
      <c r="C31" s="216"/>
      <c r="D31" s="216"/>
      <c r="E31" s="216"/>
    </row>
    <row r="32" spans="1:5" ht="22.8" customHeight="1">
      <c r="A32" s="250" t="s">
        <v>239</v>
      </c>
      <c r="B32" s="216"/>
      <c r="C32" s="216"/>
      <c r="D32" s="216"/>
      <c r="E32" s="216"/>
    </row>
    <row r="33" spans="1:5" ht="22.8" customHeight="1">
      <c r="A33" s="250" t="s">
        <v>241</v>
      </c>
      <c r="B33" s="216"/>
      <c r="C33" s="216"/>
      <c r="D33" s="216"/>
      <c r="E33" s="216"/>
    </row>
    <row r="34" spans="1:5" ht="22.8" customHeight="1">
      <c r="A34" s="250" t="s">
        <v>246</v>
      </c>
      <c r="B34" s="216"/>
      <c r="C34" s="216"/>
      <c r="D34" s="216"/>
      <c r="E34" s="216"/>
    </row>
    <row r="35" spans="1:5" ht="22.8" customHeight="1">
      <c r="A35" s="250" t="s">
        <v>247</v>
      </c>
      <c r="B35" s="216"/>
      <c r="C35" s="216"/>
      <c r="D35" s="216"/>
      <c r="E35" s="216"/>
    </row>
    <row r="36" spans="1:5" ht="22.8" customHeight="1">
      <c r="A36" s="250" t="s">
        <v>248</v>
      </c>
      <c r="B36" s="216"/>
      <c r="C36" s="216"/>
      <c r="D36" s="216"/>
      <c r="E36" s="216"/>
    </row>
    <row r="37" spans="1:5" ht="22.8" customHeight="1">
      <c r="A37" s="250" t="s">
        <v>249</v>
      </c>
      <c r="B37" s="216"/>
      <c r="C37" s="216"/>
      <c r="D37" s="216"/>
      <c r="E37" s="216"/>
    </row>
    <row r="38" spans="1:5" ht="22.8" customHeight="1">
      <c r="A38" s="250" t="s">
        <v>250</v>
      </c>
      <c r="B38" s="216"/>
      <c r="C38" s="216"/>
      <c r="D38" s="216"/>
      <c r="E38" s="216"/>
    </row>
    <row r="39" spans="1:5" ht="22.8" customHeight="1">
      <c r="A39" s="250" t="s">
        <v>251</v>
      </c>
      <c r="B39" s="216"/>
      <c r="C39" s="216"/>
      <c r="D39" s="216"/>
      <c r="E39" s="216"/>
    </row>
    <row r="40" spans="1:5" ht="22.8" customHeight="1">
      <c r="A40" s="250" t="s">
        <v>363</v>
      </c>
      <c r="B40" s="216"/>
      <c r="C40" s="216"/>
      <c r="D40" s="216"/>
      <c r="E40" s="216"/>
    </row>
    <row r="41" spans="1:5" ht="22.8" customHeight="1">
      <c r="A41" s="250" t="s">
        <v>253</v>
      </c>
      <c r="B41" s="216"/>
      <c r="C41" s="216"/>
      <c r="D41" s="216"/>
      <c r="E41" s="216"/>
    </row>
    <row r="42" spans="1:5" ht="22.8" customHeight="1">
      <c r="A42" s="250" t="s">
        <v>259</v>
      </c>
      <c r="B42" s="216"/>
      <c r="C42" s="216"/>
      <c r="D42" s="216"/>
      <c r="E42" s="216"/>
    </row>
    <row r="43" spans="1:5" ht="22.8" customHeight="1">
      <c r="A43" s="250" t="s">
        <v>261</v>
      </c>
      <c r="B43" s="216"/>
      <c r="C43" s="216"/>
      <c r="D43" s="216"/>
      <c r="E43" s="216"/>
    </row>
    <row r="44" spans="1:5" ht="22.8" customHeight="1">
      <c r="A44" s="250" t="s">
        <v>263</v>
      </c>
      <c r="B44" s="216"/>
      <c r="C44" s="216"/>
      <c r="D44" s="216"/>
      <c r="E44" s="216"/>
    </row>
    <row r="45" spans="1:5" ht="22.8" customHeight="1">
      <c r="A45" s="250" t="s">
        <v>264</v>
      </c>
      <c r="B45" s="216"/>
      <c r="C45" s="216"/>
      <c r="D45" s="216"/>
      <c r="E45" s="216"/>
    </row>
    <row r="46" spans="1:5" ht="22.8" customHeight="1">
      <c r="A46" s="250" t="s">
        <v>266</v>
      </c>
      <c r="B46" s="216"/>
      <c r="C46" s="216"/>
      <c r="D46" s="216"/>
      <c r="E46" s="216"/>
    </row>
    <row r="47" spans="1:5" ht="22.8" customHeight="1">
      <c r="A47" s="250" t="s">
        <v>267</v>
      </c>
      <c r="B47" s="216"/>
      <c r="C47" s="216"/>
      <c r="D47" s="216"/>
      <c r="E47" s="216"/>
    </row>
    <row r="48" spans="1:5" ht="22.8" customHeight="1">
      <c r="A48" s="250" t="s">
        <v>269</v>
      </c>
      <c r="B48" s="216"/>
      <c r="C48" s="216"/>
      <c r="D48" s="216"/>
      <c r="E48" s="216"/>
    </row>
    <row r="49" spans="1:5" ht="22.8" customHeight="1">
      <c r="A49" s="250" t="s">
        <v>271</v>
      </c>
      <c r="B49" s="216"/>
      <c r="C49" s="216"/>
      <c r="D49" s="216"/>
      <c r="E49" s="216"/>
    </row>
    <row r="50" spans="1:5" ht="22.8" customHeight="1">
      <c r="A50" s="250" t="s">
        <v>272</v>
      </c>
      <c r="B50" s="216"/>
      <c r="C50" s="216"/>
      <c r="D50" s="216"/>
      <c r="E50" s="216"/>
    </row>
    <row r="51" spans="1:5" ht="22.8" customHeight="1">
      <c r="A51" s="250" t="s">
        <v>142</v>
      </c>
      <c r="B51" s="216"/>
      <c r="C51" s="216"/>
      <c r="D51" s="216"/>
      <c r="E51" s="216"/>
    </row>
    <row r="52" spans="1:5" ht="22.8" customHeight="1">
      <c r="A52" s="216"/>
      <c r="B52" s="216"/>
      <c r="C52" s="216"/>
      <c r="D52" s="216"/>
      <c r="E52" s="216"/>
    </row>
    <row r="53" spans="1:5" ht="22.8" customHeight="1">
      <c r="A53" s="216"/>
      <c r="B53" s="216"/>
      <c r="C53" s="216"/>
      <c r="D53" s="216"/>
      <c r="E53" s="216"/>
    </row>
    <row r="54" spans="1:5" ht="22.8" customHeight="1">
      <c r="A54" s="216"/>
      <c r="B54" s="216"/>
      <c r="C54" s="216"/>
      <c r="D54" s="216"/>
      <c r="E54" s="216"/>
    </row>
    <row r="55" spans="1:5" ht="22.8" customHeight="1">
      <c r="A55" s="216"/>
      <c r="B55" s="216"/>
      <c r="C55" s="216"/>
      <c r="D55" s="216"/>
      <c r="E55" s="216"/>
    </row>
    <row r="56" spans="1:5" ht="22.8" customHeight="1">
      <c r="A56" s="216"/>
      <c r="B56" s="216"/>
      <c r="C56" s="216"/>
      <c r="D56" s="216"/>
      <c r="E56" s="216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2019-02-06T16:54:59Z</dcterms:modified>
</cp:coreProperties>
</file>