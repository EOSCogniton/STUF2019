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esktop\STUF2019\"/>
    </mc:Choice>
  </mc:AlternateContent>
  <bookViews>
    <workbookView xWindow="-105" yWindow="-105" windowWidth="19425" windowHeight="10425" tabRatio="741" firstSheet="4" activeTab="10"/>
  </bookViews>
  <sheets>
    <sheet name="Statistique_Kit" sheetId="10" r:id="rId1"/>
    <sheet name="Kit_Montage_Template" sheetId="1" state="hidden" r:id="rId2"/>
    <sheet name="Kit_Montage_Template (2)" sheetId="17" state="hidden" r:id="rId3"/>
    <sheet name="Kit_Carrosserie" sheetId="3" r:id="rId4"/>
    <sheet name="Kit_Pédalier" sheetId="16" r:id="rId5"/>
    <sheet name="Kit_Direction" sheetId="4" r:id="rId6"/>
    <sheet name="Kit_Roues équipées" sheetId="20" r:id="rId7"/>
    <sheet name="Kit_Triangles" sheetId="6" r:id="rId8"/>
    <sheet name="Kit_BAR" sheetId="7" r:id="rId9"/>
    <sheet name="Kit_Freinage" sheetId="8" r:id="rId10"/>
    <sheet name="Kit__Transm_Sec" sheetId="19" r:id="rId11"/>
    <sheet name="Kit_CircuitCarburant" sheetId="9" r:id="rId12"/>
    <sheet name="Kit_Admission" sheetId="11" r:id="rId13"/>
    <sheet name="Kit_Echappement" sheetId="12" r:id="rId1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" i="19" l="1"/>
  <c r="E16" i="10" l="1"/>
  <c r="E15" i="10"/>
  <c r="E14" i="10"/>
  <c r="E13" i="10"/>
  <c r="E12" i="10"/>
  <c r="E11" i="10"/>
  <c r="E10" i="10"/>
  <c r="E9" i="10"/>
  <c r="B9" i="10"/>
  <c r="A9" i="10"/>
  <c r="E8" i="10"/>
  <c r="E7" i="10"/>
  <c r="E6" i="10"/>
  <c r="E5" i="10"/>
  <c r="D13" i="10" l="1"/>
  <c r="B13" i="10"/>
  <c r="A13" i="10"/>
  <c r="H1" i="11"/>
  <c r="H1" i="9"/>
  <c r="H1" i="8"/>
  <c r="H1" i="7"/>
  <c r="H1" i="4"/>
  <c r="H1" i="16"/>
  <c r="H1" i="19"/>
  <c r="C13" i="10" s="1"/>
  <c r="H1" i="20" l="1"/>
  <c r="C9" i="10" s="1"/>
  <c r="H1" i="17" l="1"/>
  <c r="C6" i="10" l="1"/>
  <c r="D6" i="10"/>
  <c r="B6" i="10"/>
  <c r="A6" i="10"/>
  <c r="D16" i="10" l="1"/>
  <c r="B16" i="10"/>
  <c r="A16" i="10"/>
  <c r="D15" i="10"/>
  <c r="B15" i="10"/>
  <c r="A15" i="10"/>
  <c r="H1" i="12"/>
  <c r="C16" i="10" s="1"/>
  <c r="C15" i="10"/>
  <c r="D14" i="10"/>
  <c r="B14" i="10"/>
  <c r="A14" i="10"/>
  <c r="D12" i="10"/>
  <c r="B12" i="10"/>
  <c r="A12" i="10"/>
  <c r="D11" i="10"/>
  <c r="B11" i="10"/>
  <c r="A11" i="10"/>
  <c r="D10" i="10"/>
  <c r="B10" i="10"/>
  <c r="A10" i="10"/>
  <c r="D8" i="10"/>
  <c r="B8" i="10"/>
  <c r="A8" i="10"/>
  <c r="D7" i="10"/>
  <c r="B7" i="10"/>
  <c r="A7" i="10"/>
  <c r="D5" i="10"/>
  <c r="B5" i="10"/>
  <c r="A5" i="10"/>
  <c r="C14" i="10"/>
  <c r="C12" i="10"/>
  <c r="D20" i="10" l="1"/>
  <c r="C11" i="10"/>
  <c r="E22" i="6" l="1"/>
  <c r="H1" i="6" l="1"/>
  <c r="C10" i="10" s="1"/>
  <c r="C8" i="10"/>
  <c r="C7" i="10" l="1"/>
  <c r="H1" i="3" l="1"/>
  <c r="C5" i="10" s="1"/>
  <c r="C20" i="10" s="1"/>
  <c r="H1" i="1" l="1"/>
</calcChain>
</file>

<file path=xl/sharedStrings.xml><?xml version="1.0" encoding="utf-8"?>
<sst xmlns="http://schemas.openxmlformats.org/spreadsheetml/2006/main" count="1836" uniqueCount="290">
  <si>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</si>
  <si>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</si>
  <si>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</si>
  <si>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</si>
  <si>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</si>
  <si>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</si>
  <si>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</si>
  <si>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</si>
  <si>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</si>
  <si>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</si>
  <si>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</si>
  <si>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</si>
  <si>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</si>
  <si>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</si>
  <si>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</si>
  <si>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</si>
  <si>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</si>
  <si>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</si>
  <si>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</si>
  <si>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</si>
  <si>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</si>
  <si>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</si>
  <si>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</si>
  <si>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</si>
  <si>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</si>
  <si>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</si>
  <si>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</si>
  <si>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</si>
  <si>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</si>
  <si>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</si>
  <si>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</si>
  <si>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</si>
  <si>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</si>
  <si>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</si>
  <si>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</si>
  <si>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</si>
  <si>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</si>
  <si>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</si>
  <si>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</si>
  <si>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SCHIO michele</t>
  </si>
  <si>
    <t>Tripod housing spacer</t>
  </si>
  <si>
    <t>entretoise_upper_front_bearing_support.1</t>
  </si>
  <si>
    <t>Speed Sensor</t>
  </si>
  <si>
    <t>roue dente capteur vitesse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</si>
  <si>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</si>
  <si>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</si>
  <si>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</si>
  <si>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</si>
  <si>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</si>
  <si>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</si>
  <si>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</si>
  <si>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</si>
  <si>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</si>
  <si>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</si>
  <si>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</si>
  <si>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</si>
  <si>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</si>
  <si>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</si>
  <si>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</si>
  <si>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</si>
  <si>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</si>
  <si>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</si>
  <si>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</si>
  <si>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</si>
  <si>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</si>
  <si>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</si>
  <si>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</si>
  <si>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</si>
  <si>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</si>
  <si>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</si>
  <si>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</si>
  <si>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</si>
  <si>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</si>
  <si>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</si>
  <si>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</si>
  <si>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</si>
  <si>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</si>
  <si>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</si>
  <si>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</si>
  <si>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</si>
  <si>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</si>
  <si>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</si>
  <si>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</si>
  <si>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</si>
  <si>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</si>
  <si>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</si>
  <si>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</si>
  <si>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</si>
  <si>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</si>
  <si>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</si>
  <si>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</si>
  <si>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</si>
  <si>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</si>
  <si>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</si>
  <si>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</si>
  <si>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</si>
  <si>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</si>
  <si>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</si>
  <si>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</si>
  <si>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</si>
  <si>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</si>
  <si>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</si>
  <si>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</si>
  <si>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</si>
  <si>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</si>
  <si>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</si>
  <si>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</si>
  <si>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</si>
  <si>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</si>
  <si>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</si>
  <si>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</si>
  <si>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</si>
  <si>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</si>
  <si>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</si>
  <si>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</si>
  <si>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</si>
  <si>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</si>
  <si>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</si>
  <si>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</si>
  <si>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</si>
  <si>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</si>
  <si>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</si>
  <si>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</si>
  <si>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</si>
  <si>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</si>
  <si>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</si>
  <si>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</si>
  <si>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</si>
  <si>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</si>
  <si>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</si>
  <si>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</si>
  <si>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</si>
  <si>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</si>
  <si>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</si>
  <si>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</si>
  <si>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</si>
  <si>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</si>
  <si>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</si>
  <si>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</si>
  <si>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</si>
  <si>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</si>
  <si>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</si>
  <si>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</si>
  <si>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</si>
  <si>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</si>
  <si>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</si>
  <si>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</si>
  <si>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</si>
  <si>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</si>
  <si>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</si>
  <si>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</si>
  <si>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</si>
  <si>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</si>
  <si>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</si>
  <si>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</si>
  <si>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</si>
  <si>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</si>
  <si>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</si>
  <si>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</si>
  <si>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</si>
  <si>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</si>
  <si>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</si>
  <si>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</si>
  <si>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</si>
  <si>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</si>
  <si>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</si>
  <si>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</si>
  <si>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</si>
  <si>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</si>
  <si>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</si>
  <si>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</si>
  <si>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</si>
  <si>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</si>
  <si>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</si>
  <si>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</si>
  <si>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</si>
  <si>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</si>
  <si>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</si>
  <si>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</si>
  <si>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</si>
  <si>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</si>
  <si>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</si>
  <si>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</si>
  <si>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</si>
  <si>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</si>
  <si>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</si>
  <si>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</si>
  <si>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</si>
  <si>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</si>
  <si>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</si>
  <si>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</si>
  <si>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</si>
  <si>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</si>
  <si>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</si>
  <si>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</si>
  <si>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</si>
  <si>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</si>
  <si>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</si>
  <si>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</si>
  <si>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</si>
  <si>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</si>
  <si>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</si>
  <si>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</si>
  <si>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</si>
  <si>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</si>
  <si>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</si>
  <si>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</si>
  <si>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</si>
  <si>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Tripod housing</t>
  </si>
  <si>
    <t>Jacking bar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</si>
  <si>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</si>
  <si>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</si>
  <si>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</si>
  <si>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</si>
  <si>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</si>
  <si>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</si>
  <si>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</si>
  <si>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</si>
  <si>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</si>
  <si>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</si>
  <si>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</si>
  <si>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</si>
  <si>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Protection tripod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</si>
  <si>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</si>
  <si>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</si>
  <si>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</si>
  <si>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</si>
  <si>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</si>
  <si>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</si>
  <si>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</si>
  <si>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Ecrou Nylstop M4</t>
  </si>
  <si>
    <t>Ecrou Nylstop M6</t>
  </si>
  <si>
    <t>Excentrique gauche + droit</t>
  </si>
  <si>
    <t>Porte excentrique gauche + droit</t>
  </si>
  <si>
    <t>Boulons M3 (guillotine)</t>
  </si>
  <si>
    <t>PROM :</t>
  </si>
  <si>
    <t>NOK</t>
  </si>
  <si>
    <t>OK</t>
  </si>
  <si>
    <t>PROM</t>
  </si>
  <si>
    <t>2D1 ass</t>
  </si>
  <si>
    <t>SU_11001</t>
  </si>
  <si>
    <t>Rear Left Upright</t>
  </si>
  <si>
    <t>etrier arrere</t>
  </si>
  <si>
    <t>WT_0100_001</t>
  </si>
  <si>
    <t>Oz Magnesium Rim</t>
  </si>
  <si>
    <t>WT_0100_002</t>
  </si>
  <si>
    <t>Tire Hoosier 13</t>
  </si>
  <si>
    <t>S71910 ACD</t>
  </si>
  <si>
    <t>roulement</t>
  </si>
  <si>
    <t>WT_03001 (Rear Hub)</t>
  </si>
  <si>
    <t>Rear Hub</t>
  </si>
  <si>
    <t>4483 Polaris (20T)</t>
  </si>
  <si>
    <t xml:space="preserve">tripod_x000D_
</t>
  </si>
  <si>
    <t>SU_11003</t>
  </si>
  <si>
    <t>Upper Arm Wedge</t>
  </si>
  <si>
    <t>SU_10002</t>
  </si>
  <si>
    <t>Front Upper Arm Bracket</t>
  </si>
  <si>
    <t xml:space="preserve"> </t>
  </si>
  <si>
    <t>nut_iso_10512-m20x1_5-10</t>
  </si>
  <si>
    <t>PART-nut_iso_10512-m20x1_5-10-DESC</t>
  </si>
  <si>
    <t>disque du frein</t>
  </si>
  <si>
    <t xml:space="preserve">_x000D_
</t>
  </si>
  <si>
    <t>WT_02006</t>
  </si>
  <si>
    <t>Speed Sensor Spacer 3mm</t>
  </si>
  <si>
    <t>WT_02004</t>
  </si>
  <si>
    <t>Speed Sensor Spacer</t>
  </si>
  <si>
    <t>Brake Bell</t>
  </si>
  <si>
    <t>frette du frein arriere</t>
  </si>
  <si>
    <t>WT_03003</t>
  </si>
  <si>
    <t>Rear Bearing Washer</t>
  </si>
  <si>
    <t>SU_1000_001</t>
  </si>
  <si>
    <t>Front Left Upright</t>
  </si>
  <si>
    <t>WT_0200_001</t>
  </si>
  <si>
    <t>Front Hub</t>
  </si>
  <si>
    <t>BR_0100_001_MM</t>
  </si>
  <si>
    <t>Brake Caliper</t>
  </si>
  <si>
    <t>BR_0200_0011</t>
  </si>
  <si>
    <t>Break Disc</t>
  </si>
  <si>
    <t>SU_10003</t>
  </si>
  <si>
    <t>WT_02003</t>
  </si>
  <si>
    <t>Front Bearing Washer</t>
  </si>
  <si>
    <t>MB(L) lock washers</t>
  </si>
  <si>
    <t>KM(L) and HM .. T lock nuts</t>
  </si>
  <si>
    <t>PART-_HPC - SHW-8/B-DESC</t>
  </si>
  <si>
    <t>roues equipées</t>
  </si>
  <si>
    <t>Vis plate M4*20</t>
  </si>
  <si>
    <t>Vic plate M6*16</t>
  </si>
  <si>
    <t>manchon</t>
  </si>
  <si>
    <t>Vis Chc DIN 912 M8*10</t>
  </si>
  <si>
    <t>masse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</si>
</sst>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0" borderId="0" xfId="0" applyFont="1" applyAlignment="1">
      <alignment horizontal="center" vertical="center"/>
    </xf>
    <xf numFmtId="0" fontId="2" fillId="0" borderId="5" xfId="0" applyFont="1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/>
    <xf numFmtId="0" fontId="5" fillId="0" borderId="5" xfId="0" applyFont="1" applyBorder="1"/>
    <xf numFmtId="0" fontId="11" fillId="0" borderId="12" xfId="0" applyFont="1" applyBorder="1"/>
    <xf numFmtId="0" fontId="11" fillId="0" borderId="5" xfId="0" applyFont="1" applyBorder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ill="1" applyBorder="1"/>
    <xf numFmtId="0" fontId="10" fillId="5" borderId="15" xfId="0" applyFont="1" applyFill="1" applyBorder="1"/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10" fillId="6" borderId="15" xfId="0" applyFont="1" applyFill="1" applyBorder="1"/>
    <xf numFmtId="0" fontId="14" fillId="0" borderId="0" xfId="0" applyFont="1"/>
    <xf numFmtId="0" fontId="13" fillId="0" borderId="0" xfId="0" applyFont="1"/>
    <xf numFmtId="0" fontId="11" fillId="0" borderId="3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5" xfId="0" applyFill="1" applyBorder="1"/>
    <xf numFmtId="0" fontId="0" fillId="7" borderId="4" xfId="0" applyFill="1" applyBorder="1"/>
    <xf numFmtId="0" fontId="0" fillId="7" borderId="6" xfId="0" applyFill="1" applyBorder="1"/>
    <xf numFmtId="0" fontId="6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11" xfId="0" applyFont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12" xfId="0" applyFont="1" applyBorder="1"/>
    <xf numFmtId="0" fontId="11" fillId="0" borderId="13" xfId="0" applyFont="1" applyBorder="1"/>
    <xf numFmtId="0" fontId="11" fillId="0" borderId="3" xfId="0" applyFont="1" applyBorder="1"/>
    <xf numFmtId="0" fontId="11" fillId="0" borderId="16" xfId="0" applyFont="1" applyBorder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/>
    <xf numFmtId="0" fontId="0" fillId="0" borderId="16" xfId="0" applyBorder="1"/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15" fillId="0" borderId="3" xfId="0" applyFont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15" fillId="0" borderId="3" xfId="0" applyFont="1" applyBorder="1" applyAlignment="1">
      <alignment horizontal="left"/>
    </xf>
    <xf numFmtId="0" fontId="15" fillId="0" borderId="16" xfId="0" applyFont="1" applyBorder="1" applyAlignment="1">
      <alignment horizontal="left"/>
    </xf>
    <xf numFmtId="0" fontId="15" fillId="0" borderId="3" xfId="0" applyFont="1" applyBorder="1"/>
    <xf numFmtId="0" fontId="15" fillId="0" borderId="16" xfId="0" applyFont="1" applyBorder="1"/>
    <xf numFmtId="0" fontId="0" fillId="0" borderId="12" xfId="0" applyBorder="1"/>
    <xf numFmtId="0" fontId="0" fillId="0" borderId="13" xfId="0" applyBorder="1"/>
    <xf numFmtId="0" fontId="14" fillId="0" borderId="3" xfId="0" applyFont="1" applyBorder="1"/>
    <xf numFmtId="0" fontId="13" fillId="0" borderId="3" xfId="0" applyFont="1" applyBorder="1"/>
    <xf numFmtId="0" fontId="13" fillId="0" borderId="16" xfId="0" applyFont="1" applyBorder="1"/>
    <xf numFmtId="0" fontId="0" fillId="0" borderId="0" xfId="0" applyAlignment="1">
      <alignment horizontal="center"/>
    </xf>
    <xf numFmtId="0" fontId="6" fillId="0" borderId="17" xfId="0" applyFont="1" applyBorder="1"/>
    <xf numFmtId="0" fontId="6" fillId="0" borderId="19" xfId="0" applyFont="1" applyBorder="1"/>
    <xf numFmtId="0" fontId="3" fillId="0" borderId="18" xfId="0" applyFont="1" applyBorder="1" applyAlignment="1">
      <alignment horizontal="center" vertical="center"/>
    </xf>
    <xf numFmtId="0" fontId="2" fillId="0" borderId="1" xfId="0" applyFont="1" applyBorder="1"/>
    <xf numFmtId="0" fontId="0" fillId="0" borderId="21" xfId="0" applyBorder="1"/>
    <xf numFmtId="0" fontId="2" fillId="0" borderId="22" xfId="0" applyFont="1" applyBorder="1" applyAlignment="1">
      <alignment wrapText="1"/>
    </xf>
    <xf numFmtId="0" fontId="16" fillId="0" borderId="20" xfId="0" applyFont="1" applyBorder="1"/>
    <xf numFmtId="0" fontId="0" fillId="0" borderId="23" xfId="0" applyBorder="1"/>
    <xf numFmtId="0" fontId="0" fillId="0" borderId="23" xfId="0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588207808734426"/>
          <c:y val="0.18763888888888891"/>
          <c:w val="0.83990810861416076"/>
          <c:h val="0.51116469816272969"/>
        </c:manualLayout>
      </c:layout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4655984"/>
        <c:axId val="1614650000"/>
      </c:barChart>
      <c:catAx>
        <c:axId val="161465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14650000"/>
        <c:crosses val="autoZero"/>
        <c:auto val="1"/>
        <c:lblAlgn val="ctr"/>
        <c:lblOffset val="100"/>
        <c:noMultiLvlLbl val="0"/>
      </c:catAx>
      <c:valAx>
        <c:axId val="161465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1465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4657072"/>
        <c:axId val="1614650544"/>
      </c:barChart>
      <c:catAx>
        <c:axId val="1614657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14650544"/>
        <c:crosses val="autoZero"/>
        <c:auto val="1"/>
        <c:lblAlgn val="ctr"/>
        <c:lblOffset val="100"/>
        <c:noMultiLvlLbl val="0"/>
      </c:catAx>
      <c:valAx>
        <c:axId val="16146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1465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536575</xdr:colOff>
      <xdr:row>20</xdr:row>
      <xdr:rowOff>117475</xdr:rowOff>
    </xdr:from>
    <xdr:to>
      <xdr:col>5</xdr:col>
      <xdr:colOff>501651</xdr:colOff>
      <xdr:row>35</xdr:row>
      <xdr:rowOff>98425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520700</xdr:colOff>
      <xdr:row>36</xdr:row>
      <xdr:rowOff>0</xdr:rowOff>
    </xdr:from>
    <xdr:to>
      <xdr:col>3</xdr:col>
      <xdr:colOff>596900</xdr:colOff>
      <xdr:row>49</xdr:row>
      <xdr:rowOff>40364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1133475</xdr:colOff>
          <xdr:row>0</xdr:row>
          <xdr:rowOff>123825</xdr:rowOff>
        </xdr:from>
        <xdr:to>
          <xdr:col>2</xdr:col>
          <xdr:colOff>619125</xdr:colOff>
          <xdr:row>2</xdr:row>
          <xdr:rowOff>66675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F20"/>
  <sheetViews>
    <sheetView showGridLines="0" view="pageLayout" topLeftCell="A5" zoomScaleNormal="100" workbookViewId="0">
      <selection activeCell="E16" sqref="E16"/>
    </sheetView>
  </sheetViews>
  <sheetFormatPr defaultColWidth="10.85546875" defaultRowHeight="15" x14ac:dyDescent="0.25"/>
  <cols>
    <col min="1" max="1" width="20.85546875" customWidth="1"/>
    <col min="2" max="2" width="26" customWidth="1"/>
    <col min="4" max="5" width="8.85546875" customWidth="1"/>
    <col min="8" max="8" width="16.42578125" customWidth="1"/>
  </cols>
  <sheetData>
    <row r="2" spans="1:6" x14ac:dyDescent="0.25">
      <c r="A2" s="24" t="s">
        <v>134</v>
      </c>
      <c r="B2" s="30" t="s">
        <v>135</v>
      </c>
    </row>
    <row r="4" spans="1:6" x14ac:dyDescent="0.25">
      <c r="A4" s="26" t="s">
        <v>136</v>
      </c>
      <c r="B4" s="26" t="s">
        <v>137</v>
      </c>
      <c r="C4" s="26" t="s">
        <v>138</v>
      </c>
      <c r="D4" s="26" t="s">
        <v>141</v>
      </c>
      <c r="E4" s="26" t="s">
        <v>238</v>
      </c>
      <c r="F4" s="26" t="s">
        <v>139</v>
      </c>
    </row>
    <row r="5" spans="1:6" x14ac:dyDescent="0.25">
      <c r="A5" s="28" t="str">
        <f>Kit_Carrosserie!B1</f>
        <v>Carrosserie</v>
      </c>
      <c r="B5" s="25" t="str">
        <f>Kit_Carrosserie!E3</f>
        <v xml:space="preserve">Josselin KIEFEL </v>
      </c>
      <c r="C5" s="25">
        <f>Kit_Carrosserie!H1</f>
        <v>22</v>
      </c>
      <c r="D5" s="25">
        <f>Kit_Carrosserie!H2</f>
        <v>0</v>
      </c>
      <c r="E5" s="25" t="str">
        <f>Kit_Carrosserie!H3</f>
        <v>NOK</v>
      </c>
      <c r="F5" s="31"/>
    </row>
    <row r="6" spans="1:6" x14ac:dyDescent="0.25">
      <c r="A6" s="27" t="str">
        <f>Kit_Pédalier!B1</f>
        <v>Pédalier</v>
      </c>
      <c r="B6" s="25" t="str">
        <f>Kit_Pédalier!E3</f>
        <v>BDE</v>
      </c>
      <c r="C6" s="25">
        <f>Kit_Pédalier!H1</f>
        <v>85</v>
      </c>
      <c r="D6" s="25">
        <f>Kit_Pédalier!H2</f>
        <v>0</v>
      </c>
      <c r="E6" s="25" t="str">
        <f>Kit_Pédalier!H3</f>
        <v>OK</v>
      </c>
      <c r="F6" s="31"/>
    </row>
    <row r="7" spans="1:6" x14ac:dyDescent="0.25">
      <c r="A7" s="27" t="str">
        <f>Kit_Direction!B1</f>
        <v>Direction (Steering)</v>
      </c>
      <c r="B7" s="25" t="str">
        <f>Kit_Direction!E3</f>
        <v>Erwan de Longcamp (EDP)</v>
      </c>
      <c r="C7" s="25">
        <f>Kit_Direction!H1</f>
        <v>30</v>
      </c>
      <c r="D7" s="25">
        <f>Kit_Direction!H2</f>
        <v>0</v>
      </c>
      <c r="E7" s="25" t="str">
        <f>Kit_Direction!H3</f>
        <v>NOK</v>
      </c>
      <c r="F7" s="31"/>
    </row>
    <row r="8" spans="1:6" x14ac:dyDescent="0.25">
      <c r="A8" s="27" t="e">
        <f>#REF!</f>
        <v>#REF!</v>
      </c>
      <c r="B8" s="25" t="e">
        <f>#REF!</f>
        <v>#REF!</v>
      </c>
      <c r="C8" s="25" t="e">
        <f>#REF!</f>
        <v>#REF!</v>
      </c>
      <c r="D8" s="25" t="e">
        <f>#REF!</f>
        <v>#REF!</v>
      </c>
      <c r="E8" s="25" t="e">
        <f>#REF!</f>
        <v>#REF!</v>
      </c>
      <c r="F8" s="31"/>
    </row>
    <row r="9" spans="1:6" x14ac:dyDescent="0.25">
      <c r="A9" s="27" t="str">
        <f>'Kit_Roues équipées'!B1</f>
        <v>roues equipées</v>
      </c>
      <c r="B9" s="25" t="str">
        <f>'Kit_Roues équipées'!E3</f>
        <v>SCHIO michele</v>
      </c>
      <c r="C9" s="25">
        <f>'Kit_Roues équipées'!H1</f>
        <v>292</v>
      </c>
      <c r="D9" s="25"/>
      <c r="E9" s="25" t="str">
        <f>'Kit_Roues équipées'!H3</f>
        <v>OK</v>
      </c>
      <c r="F9" s="31"/>
    </row>
    <row r="10" spans="1:6" x14ac:dyDescent="0.25">
      <c r="A10" s="27" t="str">
        <f>Kit_Triangles!B1</f>
        <v>chapes_assy</v>
      </c>
      <c r="B10" s="25" t="str">
        <f>Kit_Triangles!E3</f>
        <v xml:space="preserve">Martin KAWCZYNSKY </v>
      </c>
      <c r="C10" s="25">
        <f>Kit_Triangles!$H1</f>
        <v>114</v>
      </c>
      <c r="D10" s="25">
        <f>Kit_Triangles!$H2</f>
        <v>0</v>
      </c>
      <c r="E10" s="25" t="str">
        <f>Kit_Triangles!H3</f>
        <v>NOK</v>
      </c>
      <c r="F10" s="31"/>
    </row>
    <row r="11" spans="1:6" x14ac:dyDescent="0.25">
      <c r="A11" s="27" t="str">
        <f>Kit_BAR!B1</f>
        <v>Barre anti-roulis</v>
      </c>
      <c r="B11" s="25" t="str">
        <f>Kit_BAR!E3</f>
        <v>Erwan de Longcamp</v>
      </c>
      <c r="C11" s="25">
        <f>Kit_BAR!H1</f>
        <v>64</v>
      </c>
      <c r="D11" s="25">
        <f>Kit_BAR!H2</f>
        <v>0</v>
      </c>
      <c r="E11" s="25" t="str">
        <f>Kit_BAR!H3</f>
        <v>NOK</v>
      </c>
      <c r="F11" s="31"/>
    </row>
    <row r="12" spans="1:6" x14ac:dyDescent="0.25">
      <c r="A12" s="27" t="str">
        <f>Kit_Freinage!B1</f>
        <v>Système de freinage</v>
      </c>
      <c r="B12" s="25" t="str">
        <f>Kit_Freinage!E3</f>
        <v>Erwan de Longcamp</v>
      </c>
      <c r="C12" s="25">
        <f>Kit_Freinage!H1</f>
        <v>33</v>
      </c>
      <c r="D12" s="25">
        <f>Kit_Freinage!H2</f>
        <v>0</v>
      </c>
      <c r="E12" s="25" t="str">
        <f>Kit_Freinage!H3</f>
        <v>NOK</v>
      </c>
      <c r="F12" s="31"/>
    </row>
    <row r="13" spans="1:6" x14ac:dyDescent="0.25">
      <c r="A13" s="29" t="str">
        <f>Kit__Transm_Sec!B1</f>
        <v>Transmission Secondaire</v>
      </c>
      <c r="B13" s="25" t="str">
        <f>Kit__Transm_Sec!E3</f>
        <v>MPY</v>
      </c>
      <c r="C13" s="25">
        <f>Kit__Transm_Sec!H1</f>
        <v>110</v>
      </c>
      <c r="D13" s="25">
        <f>Kit__Transm_Sec!H2</f>
        <v>0</v>
      </c>
      <c r="E13" s="25" t="str">
        <f>Kit__Transm_Sec!H3</f>
        <v>NOK</v>
      </c>
      <c r="F13" s="31"/>
    </row>
    <row r="14" spans="1:6" x14ac:dyDescent="0.25">
      <c r="A14" s="29" t="str">
        <f>Kit_CircuitCarburant!B1</f>
        <v>Circuit de Carburant</v>
      </c>
      <c r="B14" s="25" t="str">
        <f>Kit_CircuitCarburant!E3</f>
        <v>BVL</v>
      </c>
      <c r="C14" s="25">
        <f>Kit_CircuitCarburant!H1</f>
        <v>52</v>
      </c>
      <c r="D14" s="25">
        <f>Kit_CircuitCarburant!H2</f>
        <v>0</v>
      </c>
      <c r="E14" s="25" t="str">
        <f>Kit_CircuitCarburant!H3</f>
        <v>NOK</v>
      </c>
      <c r="F14" s="31"/>
    </row>
    <row r="15" spans="1:6" x14ac:dyDescent="0.25">
      <c r="A15" s="29" t="str">
        <f>Kit_Admission!B1</f>
        <v>Admission (Intake)</v>
      </c>
      <c r="B15" s="25" t="str">
        <f>Kit_Admission!E3</f>
        <v>Clement Emerique</v>
      </c>
      <c r="C15" s="25">
        <f>Kit_Admission!H1</f>
        <v>128</v>
      </c>
      <c r="D15" s="25">
        <f>Kit_Admission!H2</f>
        <v>0</v>
      </c>
      <c r="E15" s="25" t="str">
        <f>Kit_Admission!H3</f>
        <v>NOK</v>
      </c>
      <c r="F15" s="31"/>
    </row>
    <row r="16" spans="1:6" x14ac:dyDescent="0.25">
      <c r="A16" s="29" t="str">
        <f>Kit_Echappement!B1</f>
        <v xml:space="preserve">Echappement </v>
      </c>
      <c r="B16" s="25" t="str">
        <f>Kit_Echappement!E3</f>
        <v>Clement Emerique</v>
      </c>
      <c r="C16" s="25">
        <f>Kit_Echappement!H1</f>
        <v>4</v>
      </c>
      <c r="D16" s="25">
        <f>Kit_Echappement!H2</f>
        <v>0</v>
      </c>
      <c r="E16" s="25" t="str">
        <f>Kit_Echappement!H3</f>
        <v>OK</v>
      </c>
      <c r="F16" s="31"/>
    </row>
    <row r="17" spans="1:6" x14ac:dyDescent="0.25">
      <c r="A17" s="32" t="s">
        <v>146</v>
      </c>
      <c r="B17" s="25" t="s">
        <v>149</v>
      </c>
      <c r="C17" s="25"/>
      <c r="D17" s="25"/>
      <c r="E17" s="25"/>
      <c r="F17" s="31"/>
    </row>
    <row r="18" spans="1:6" x14ac:dyDescent="0.25">
      <c r="A18" s="32" t="s">
        <v>148</v>
      </c>
      <c r="B18" s="25" t="s">
        <v>149</v>
      </c>
      <c r="C18" s="25"/>
      <c r="D18" s="25"/>
      <c r="E18" s="25"/>
      <c r="F18" s="31"/>
    </row>
    <row r="19" spans="1:6" x14ac:dyDescent="0.25">
      <c r="A19" s="32" t="s">
        <v>147</v>
      </c>
      <c r="B19" s="25" t="s">
        <v>149</v>
      </c>
      <c r="C19" s="25"/>
      <c r="D19" s="25"/>
      <c r="E19" s="25"/>
      <c r="F19" s="31"/>
    </row>
    <row r="20" spans="1:6" x14ac:dyDescent="0.25">
      <c r="B20" s="26" t="s">
        <v>145</v>
      </c>
      <c r="C20" s="25" t="e">
        <f>SUM(C5:C19)</f>
        <v>#REF!</v>
      </c>
      <c r="D20" s="25" t="e">
        <f>SUM(D5:D19)</f>
        <v>#REF!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1133475</xdr:colOff>
                <xdr:row>0</xdr:row>
                <xdr:rowOff>123825</xdr:rowOff>
              </from>
              <to>
                <xdr:col>2</xdr:col>
                <xdr:colOff>609600</xdr:colOff>
                <xdr:row>2</xdr:row>
                <xdr:rowOff>57150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35"/>
  <sheetViews>
    <sheetView showGridLines="0" view="pageLayout" zoomScaleNormal="100" workbookViewId="0">
      <selection activeCell="B1" sqref="B1:E1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/>
      <c r="C1" s="55"/>
      <c r="D1" s="55"/>
      <c r="E1" s="55"/>
      <c r="F1" s="1"/>
      <c r="G1" s="3" t="s">
        <v>4</v>
      </c>
      <c r="H1">
        <f>SUM(E6:E25)</f>
        <v>0</v>
      </c>
    </row>
    <row r="2" spans="1:9" ht="26.25" x14ac:dyDescent="0.4">
      <c r="G2" s="3" t="s">
        <v>8</v>
      </c>
    </row>
    <row r="3" spans="1:9" ht="22.5" customHeight="1" x14ac:dyDescent="0.35">
      <c r="A3" s="56" t="s">
        <v>1</v>
      </c>
      <c r="B3" s="56"/>
      <c r="C3" s="57"/>
      <c r="D3" s="57"/>
      <c r="E3" s="18"/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25" customHeight="1" thickTop="1" x14ac:dyDescent="0.4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4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4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4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4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4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4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4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4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4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4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4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4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4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4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4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4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4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4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4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25"/>
    <row r="27" spans="1:9" ht="20.25" customHeight="1" thickBot="1" x14ac:dyDescent="0.4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20.25" customHeight="1" thickTop="1" x14ac:dyDescent="0.4">
      <c r="A28" s="20"/>
      <c r="B28" s="15"/>
      <c r="C28" s="15"/>
      <c r="D28" s="16"/>
      <c r="E28" s="8"/>
      <c r="F28" s="13" t="s">
        <v>11</v>
      </c>
      <c r="G28" s="54" t="s">
        <v>5</v>
      </c>
      <c r="H28" s="54"/>
      <c r="I28" s="14" t="s">
        <v>6</v>
      </c>
    </row>
    <row r="29" spans="1:9" ht="20.25" customHeight="1" x14ac:dyDescent="0.4">
      <c r="A29" s="21"/>
      <c r="B29" s="8"/>
      <c r="C29" s="8"/>
      <c r="D29" s="17"/>
      <c r="E29" s="8"/>
      <c r="F29" s="12" t="s">
        <v>11</v>
      </c>
      <c r="G29" s="49" t="s">
        <v>5</v>
      </c>
      <c r="H29" s="49"/>
      <c r="I29" s="11" t="s">
        <v>6</v>
      </c>
    </row>
    <row r="30" spans="1:9" ht="20.25" customHeight="1" x14ac:dyDescent="0.4">
      <c r="A30" s="8"/>
      <c r="B30" s="8"/>
      <c r="C30" s="8"/>
      <c r="D30" s="17"/>
      <c r="E30" s="8"/>
      <c r="F30" s="12" t="s">
        <v>11</v>
      </c>
      <c r="G30" s="49" t="s">
        <v>5</v>
      </c>
      <c r="H30" s="49"/>
      <c r="I30" s="11" t="s">
        <v>6</v>
      </c>
    </row>
    <row r="31" spans="1:9" ht="20.25" customHeight="1" x14ac:dyDescent="0.4">
      <c r="A31" s="8"/>
      <c r="B31" s="8"/>
      <c r="C31" s="8"/>
      <c r="D31" s="17"/>
      <c r="E31" s="8"/>
      <c r="F31" s="12" t="s">
        <v>11</v>
      </c>
      <c r="G31" s="49" t="s">
        <v>5</v>
      </c>
      <c r="H31" s="49"/>
      <c r="I31" s="11" t="s">
        <v>6</v>
      </c>
    </row>
    <row r="32" spans="1:9" ht="20.25" customHeight="1" x14ac:dyDescent="0.4">
      <c r="A32" s="8"/>
      <c r="B32" s="8"/>
      <c r="C32" s="8"/>
      <c r="D32" s="17"/>
      <c r="E32" s="8"/>
      <c r="F32" s="12" t="s">
        <v>11</v>
      </c>
      <c r="G32" s="49" t="s">
        <v>5</v>
      </c>
      <c r="H32" s="49"/>
      <c r="I32" s="11" t="s">
        <v>6</v>
      </c>
    </row>
    <row r="33" spans="1:9" ht="20.25" customHeight="1" x14ac:dyDescent="0.4">
      <c r="A33" s="8"/>
      <c r="B33" s="8"/>
      <c r="C33" s="8"/>
      <c r="D33" s="17"/>
      <c r="E33" s="8"/>
      <c r="F33" s="12" t="s">
        <v>11</v>
      </c>
      <c r="G33" s="49" t="s">
        <v>5</v>
      </c>
      <c r="H33" s="49"/>
      <c r="I33" s="11" t="s">
        <v>6</v>
      </c>
    </row>
    <row r="34" spans="1:9" ht="10.5" customHeight="1" x14ac:dyDescent="0.25"/>
    <row r="35" spans="1:9" ht="26.25" x14ac:dyDescent="0.4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I35"/>
  <sheetViews>
    <sheetView showGridLines="0" view="pageLayout" zoomScaleNormal="100" workbookViewId="0">
      <selection activeCell="B1" sqref="B1:E1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/>
      <c r="C1" s="55"/>
      <c r="D1" s="55"/>
      <c r="E1" s="55"/>
      <c r="F1" s="1"/>
      <c r="G1" s="3" t="s">
        <v>4</v>
      </c>
      <c r="H1">
        <f>SUM(E6:E25)</f>
        <v>0</v>
      </c>
    </row>
    <row r="2" spans="1:9" ht="26.25" x14ac:dyDescent="0.4">
      <c r="G2" s="3" t="s">
        <v>8</v>
      </c>
    </row>
    <row r="3" spans="1:9" ht="22.5" customHeight="1" x14ac:dyDescent="0.35">
      <c r="A3" s="56" t="s">
        <v>1</v>
      </c>
      <c r="B3" s="56"/>
      <c r="C3" s="57"/>
      <c r="D3" s="57"/>
      <c r="E3" s="18"/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25" customHeight="1" thickTop="1" x14ac:dyDescent="0.4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4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4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4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4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4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4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4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4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4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4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4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4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4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4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4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4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4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4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4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25"/>
    <row r="27" spans="1:9" ht="20.25" customHeight="1" thickBot="1" x14ac:dyDescent="0.4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20.25" customHeight="1" thickTop="1" x14ac:dyDescent="0.4">
      <c r="A28" s="20"/>
      <c r="B28" s="15"/>
      <c r="C28" s="15"/>
      <c r="D28" s="16"/>
      <c r="E28" s="8"/>
      <c r="F28" s="13" t="s">
        <v>11</v>
      </c>
      <c r="G28" s="54" t="s">
        <v>5</v>
      </c>
      <c r="H28" s="54"/>
      <c r="I28" s="14" t="s">
        <v>6</v>
      </c>
    </row>
    <row r="29" spans="1:9" ht="20.25" customHeight="1" x14ac:dyDescent="0.4">
      <c r="A29" s="21"/>
      <c r="B29" s="8"/>
      <c r="C29" s="8"/>
      <c r="D29" s="17"/>
      <c r="E29" s="8"/>
      <c r="F29" s="12" t="s">
        <v>11</v>
      </c>
      <c r="G29" s="49" t="s">
        <v>5</v>
      </c>
      <c r="H29" s="49"/>
      <c r="I29" s="11" t="s">
        <v>6</v>
      </c>
    </row>
    <row r="30" spans="1:9" ht="20.25" customHeight="1" x14ac:dyDescent="0.4">
      <c r="A30" s="8"/>
      <c r="B30" s="8"/>
      <c r="C30" s="8"/>
      <c r="D30" s="17"/>
      <c r="E30" s="8"/>
      <c r="F30" s="12" t="s">
        <v>11</v>
      </c>
      <c r="G30" s="49" t="s">
        <v>5</v>
      </c>
      <c r="H30" s="49"/>
      <c r="I30" s="11" t="s">
        <v>6</v>
      </c>
    </row>
    <row r="31" spans="1:9" ht="20.25" customHeight="1" x14ac:dyDescent="0.4">
      <c r="A31" s="8"/>
      <c r="B31" s="8"/>
      <c r="C31" s="8"/>
      <c r="D31" s="17"/>
      <c r="E31" s="8"/>
      <c r="F31" s="12" t="s">
        <v>11</v>
      </c>
      <c r="G31" s="49" t="s">
        <v>5</v>
      </c>
      <c r="H31" s="49"/>
      <c r="I31" s="11" t="s">
        <v>6</v>
      </c>
    </row>
    <row r="32" spans="1:9" ht="20.25" customHeight="1" x14ac:dyDescent="0.4">
      <c r="A32" s="8"/>
      <c r="B32" s="8"/>
      <c r="C32" s="8"/>
      <c r="D32" s="17"/>
      <c r="E32" s="8"/>
      <c r="F32" s="12" t="s">
        <v>11</v>
      </c>
      <c r="G32" s="49" t="s">
        <v>5</v>
      </c>
      <c r="H32" s="49"/>
      <c r="I32" s="11" t="s">
        <v>6</v>
      </c>
    </row>
    <row r="33" spans="1:9" ht="20.25" customHeight="1" x14ac:dyDescent="0.4">
      <c r="A33" s="8"/>
      <c r="B33" s="8"/>
      <c r="C33" s="8"/>
      <c r="D33" s="17"/>
      <c r="E33" s="8"/>
      <c r="F33" s="12" t="s">
        <v>11</v>
      </c>
      <c r="G33" s="49" t="s">
        <v>5</v>
      </c>
      <c r="H33" s="49"/>
      <c r="I33" s="11" t="s">
        <v>6</v>
      </c>
    </row>
    <row r="34" spans="1:9" ht="10.5" customHeight="1" x14ac:dyDescent="0.25"/>
    <row r="35" spans="1:9" ht="26.25" x14ac:dyDescent="0.4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I35"/>
  <sheetViews>
    <sheetView showGridLines="0" view="pageLayout" topLeftCell="A20" zoomScaleNormal="100" workbookViewId="0">
      <selection activeCell="G3" sqref="G3: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 t="s">
        <v>17</v>
      </c>
      <c r="C1" s="55"/>
      <c r="D1" s="55"/>
      <c r="E1" s="55"/>
      <c r="F1" s="1"/>
      <c r="G1" s="3" t="s">
        <v>4</v>
      </c>
      <c r="H1" s="2">
        <f>SUM(E6:E25)</f>
        <v>22</v>
      </c>
    </row>
    <row r="2" spans="1:9" ht="26.25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s="18" t="s">
        <v>140</v>
      </c>
      <c r="G3" t="s">
        <v>235</v>
      </c>
      <c r="H3" t="s">
        <v>236</v>
      </c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" customHeight="1" thickTop="1" x14ac:dyDescent="0.4">
      <c r="A6" s="58" t="s">
        <v>18</v>
      </c>
      <c r="B6" s="58"/>
      <c r="C6" s="58"/>
      <c r="D6" s="59"/>
      <c r="E6" s="39">
        <v>4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" customHeight="1" x14ac:dyDescent="0.4">
      <c r="A7" s="60" t="s">
        <v>19</v>
      </c>
      <c r="B7" s="60"/>
      <c r="C7" s="60"/>
      <c r="D7" s="61"/>
      <c r="E7" s="40">
        <v>4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" customHeight="1" x14ac:dyDescent="0.4">
      <c r="A8" s="60" t="s">
        <v>22</v>
      </c>
      <c r="B8" s="60"/>
      <c r="C8" s="60"/>
      <c r="D8" s="61"/>
      <c r="E8" s="41">
        <v>5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" customHeight="1" x14ac:dyDescent="0.4">
      <c r="A9" s="60" t="s">
        <v>23</v>
      </c>
      <c r="B9" s="60"/>
      <c r="C9" s="60"/>
      <c r="D9" s="61"/>
      <c r="E9" s="41">
        <v>8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" customHeight="1" x14ac:dyDescent="0.4">
      <c r="A10" s="60" t="s">
        <v>24</v>
      </c>
      <c r="B10" s="60"/>
      <c r="C10" s="60"/>
      <c r="D10" s="61"/>
      <c r="E10" s="41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" customHeight="1" x14ac:dyDescent="0.4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" customHeight="1" x14ac:dyDescent="0.4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" customHeight="1" x14ac:dyDescent="0.4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" customHeight="1" x14ac:dyDescent="0.4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" customHeight="1" x14ac:dyDescent="0.4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" customHeight="1" x14ac:dyDescent="0.4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" customHeight="1" x14ac:dyDescent="0.4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" customHeight="1" x14ac:dyDescent="0.4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" customHeight="1" x14ac:dyDescent="0.4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" customHeight="1" x14ac:dyDescent="0.4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" customHeight="1" x14ac:dyDescent="0.4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" customHeight="1" x14ac:dyDescent="0.4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" customHeight="1" x14ac:dyDescent="0.4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" customHeight="1" x14ac:dyDescent="0.4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" customHeight="1" x14ac:dyDescent="0.4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" customHeight="1" x14ac:dyDescent="0.25"/>
    <row r="27" spans="1:9" ht="19.7" customHeight="1" thickBot="1" x14ac:dyDescent="0.4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19.7" customHeight="1" thickTop="1" x14ac:dyDescent="0.4">
      <c r="A28" s="58" t="s">
        <v>20</v>
      </c>
      <c r="B28" s="58"/>
      <c r="C28" s="58"/>
      <c r="D28" s="59"/>
      <c r="E28" s="23">
        <v>8</v>
      </c>
      <c r="F28" s="13" t="s">
        <v>11</v>
      </c>
      <c r="G28" s="54" t="s">
        <v>5</v>
      </c>
      <c r="H28" s="54"/>
      <c r="I28" s="14" t="s">
        <v>6</v>
      </c>
    </row>
    <row r="29" spans="1:9" ht="19.7" customHeight="1" x14ac:dyDescent="0.4">
      <c r="A29" s="60" t="s">
        <v>21</v>
      </c>
      <c r="B29" s="60"/>
      <c r="C29" s="60"/>
      <c r="D29" s="61"/>
      <c r="E29" s="23">
        <v>8</v>
      </c>
      <c r="F29" s="12" t="s">
        <v>11</v>
      </c>
      <c r="G29" s="49" t="s">
        <v>5</v>
      </c>
      <c r="H29" s="49"/>
      <c r="I29" s="11" t="s">
        <v>6</v>
      </c>
    </row>
    <row r="30" spans="1:9" ht="19.7" customHeight="1" x14ac:dyDescent="0.4">
      <c r="A30" s="8"/>
      <c r="B30" s="8"/>
      <c r="C30" s="8"/>
      <c r="D30" s="17"/>
      <c r="E30" s="8"/>
      <c r="F30" s="12" t="s">
        <v>11</v>
      </c>
      <c r="G30" s="49" t="s">
        <v>5</v>
      </c>
      <c r="H30" s="49"/>
      <c r="I30" s="11" t="s">
        <v>6</v>
      </c>
    </row>
    <row r="31" spans="1:9" ht="19.7" customHeight="1" x14ac:dyDescent="0.4">
      <c r="A31" s="8"/>
      <c r="B31" s="8"/>
      <c r="C31" s="8"/>
      <c r="D31" s="17"/>
      <c r="E31" s="8"/>
      <c r="F31" s="12" t="s">
        <v>11</v>
      </c>
      <c r="G31" s="49" t="s">
        <v>5</v>
      </c>
      <c r="H31" s="49"/>
      <c r="I31" s="11" t="s">
        <v>6</v>
      </c>
    </row>
    <row r="32" spans="1:9" ht="19.7" customHeight="1" x14ac:dyDescent="0.4">
      <c r="A32" s="8"/>
      <c r="B32" s="8"/>
      <c r="C32" s="8"/>
      <c r="D32" s="17"/>
      <c r="E32" s="8"/>
      <c r="F32" s="12" t="s">
        <v>11</v>
      </c>
      <c r="G32" s="49" t="s">
        <v>5</v>
      </c>
      <c r="H32" s="49"/>
      <c r="I32" s="11" t="s">
        <v>6</v>
      </c>
    </row>
    <row r="33" spans="1:9" ht="19.7" customHeight="1" x14ac:dyDescent="0.4">
      <c r="A33" s="8"/>
      <c r="B33" s="8"/>
      <c r="C33" s="8"/>
      <c r="D33" s="17"/>
      <c r="E33" s="8"/>
      <c r="F33" s="12" t="s">
        <v>11</v>
      </c>
      <c r="G33" s="49" t="s">
        <v>5</v>
      </c>
      <c r="H33" s="49"/>
      <c r="I33" s="11" t="s">
        <v>6</v>
      </c>
    </row>
    <row r="35" spans="1:9" ht="26.25" x14ac:dyDescent="0.4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9">
    <mergeCell ref="A8:D8"/>
    <mergeCell ref="A9:D9"/>
    <mergeCell ref="A10:D10"/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  <mergeCell ref="A29:D29"/>
    <mergeCell ref="A6:D6"/>
    <mergeCell ref="A7:D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0000"/>
  </sheetPr>
  <dimension ref="A1:I33"/>
  <sheetViews>
    <sheetView showGridLines="0" view="pageLayout" topLeftCell="A5" zoomScaleNormal="100" workbookViewId="0">
      <selection activeCell="H4" sqref="H4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 t="s">
        <v>150</v>
      </c>
      <c r="C1" s="55"/>
      <c r="D1" s="55"/>
      <c r="E1" s="55"/>
      <c r="F1" s="1"/>
      <c r="G1" s="3" t="s">
        <v>4</v>
      </c>
      <c r="H1">
        <f>SUM(E6:E32)</f>
        <v>85</v>
      </c>
    </row>
    <row r="2" spans="1:9" ht="26.25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s="18" t="s">
        <v>151</v>
      </c>
      <c r="G3" t="s">
        <v>235</v>
      </c>
      <c r="H3" t="s">
        <v>237</v>
      </c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25" customHeight="1" thickTop="1" x14ac:dyDescent="0.4">
      <c r="A6" s="62" t="s">
        <v>152</v>
      </c>
      <c r="B6" s="62"/>
      <c r="C6" s="62"/>
      <c r="D6" s="63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4">
      <c r="A7" s="64" t="s">
        <v>153</v>
      </c>
      <c r="B7" s="64"/>
      <c r="C7" s="64"/>
      <c r="D7" s="65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4">
      <c r="A8" s="64" t="s">
        <v>154</v>
      </c>
      <c r="B8" s="64"/>
      <c r="C8" s="64"/>
      <c r="D8" s="65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4">
      <c r="A9" s="64" t="s">
        <v>155</v>
      </c>
      <c r="B9" s="64"/>
      <c r="C9" s="64"/>
      <c r="D9" s="65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4">
      <c r="A10" s="64" t="s">
        <v>156</v>
      </c>
      <c r="B10" s="64"/>
      <c r="C10" s="64"/>
      <c r="D10" s="65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4">
      <c r="A11" s="64" t="s">
        <v>157</v>
      </c>
      <c r="B11" s="64"/>
      <c r="C11" s="64"/>
      <c r="D11" s="65"/>
      <c r="E11" s="5">
        <v>4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4">
      <c r="A12" s="64" t="s">
        <v>158</v>
      </c>
      <c r="B12" s="64"/>
      <c r="C12" s="64"/>
      <c r="D12" s="65"/>
      <c r="E12" s="5">
        <v>8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4">
      <c r="A13" s="64"/>
      <c r="B13" s="64"/>
      <c r="C13" s="64"/>
      <c r="D13" s="65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4">
      <c r="A14" s="64"/>
      <c r="B14" s="64"/>
      <c r="C14" s="64"/>
      <c r="D14" s="65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4">
      <c r="A15" s="66"/>
      <c r="B15" s="66"/>
      <c r="C15" s="66"/>
      <c r="D15" s="67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4">
      <c r="A16" s="66"/>
      <c r="B16" s="66"/>
      <c r="C16" s="66"/>
      <c r="D16" s="67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4">
      <c r="A17" s="66"/>
      <c r="B17" s="66"/>
      <c r="C17" s="66"/>
      <c r="D17" s="67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4">
      <c r="A18" s="66"/>
      <c r="B18" s="66"/>
      <c r="C18" s="66"/>
      <c r="D18" s="67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4">
      <c r="A19" s="66"/>
      <c r="B19" s="66"/>
      <c r="C19" s="66"/>
      <c r="D19" s="67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4">
      <c r="A20" s="66"/>
      <c r="B20" s="66"/>
      <c r="C20" s="66"/>
      <c r="D20" s="67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25"/>
    <row r="22" spans="1:9" ht="20.25" customHeight="1" thickBot="1" x14ac:dyDescent="0.45">
      <c r="A22" s="50" t="s">
        <v>3</v>
      </c>
      <c r="B22" s="51"/>
      <c r="C22" s="50"/>
      <c r="D22" s="51"/>
      <c r="E22" s="10" t="s">
        <v>10</v>
      </c>
      <c r="F22" s="52" t="s">
        <v>7</v>
      </c>
      <c r="G22" s="53"/>
      <c r="H22" s="53"/>
      <c r="I22" s="3"/>
    </row>
    <row r="23" spans="1:9" ht="20.25" customHeight="1" thickTop="1" x14ac:dyDescent="0.4">
      <c r="A23" s="58" t="s">
        <v>160</v>
      </c>
      <c r="B23" s="58"/>
      <c r="C23" s="58"/>
      <c r="D23" s="59"/>
      <c r="E23" s="23">
        <v>9</v>
      </c>
      <c r="F23" s="13" t="s">
        <v>11</v>
      </c>
      <c r="G23" s="54" t="s">
        <v>5</v>
      </c>
      <c r="H23" s="54"/>
      <c r="I23" s="14" t="s">
        <v>6</v>
      </c>
    </row>
    <row r="24" spans="1:9" ht="20.25" customHeight="1" x14ac:dyDescent="0.4">
      <c r="A24" s="60" t="s">
        <v>159</v>
      </c>
      <c r="B24" s="60"/>
      <c r="C24" s="60"/>
      <c r="D24" s="61"/>
      <c r="E24" s="23">
        <v>2</v>
      </c>
      <c r="F24" s="12" t="s">
        <v>11</v>
      </c>
      <c r="G24" s="49" t="s">
        <v>5</v>
      </c>
      <c r="H24" s="49"/>
      <c r="I24" s="11" t="s">
        <v>6</v>
      </c>
    </row>
    <row r="25" spans="1:9" ht="20.25" customHeight="1" x14ac:dyDescent="0.4">
      <c r="A25" s="60" t="s">
        <v>161</v>
      </c>
      <c r="B25" s="60"/>
      <c r="C25" s="60"/>
      <c r="D25" s="61"/>
      <c r="E25" s="23">
        <v>1</v>
      </c>
      <c r="F25" s="12" t="s">
        <v>11</v>
      </c>
      <c r="G25" s="49" t="s">
        <v>5</v>
      </c>
      <c r="H25" s="49"/>
      <c r="I25" s="11" t="s">
        <v>6</v>
      </c>
    </row>
    <row r="26" spans="1:9" ht="20.25" customHeight="1" x14ac:dyDescent="0.4">
      <c r="A26" s="60" t="s">
        <v>162</v>
      </c>
      <c r="B26" s="60"/>
      <c r="C26" s="60"/>
      <c r="D26" s="61"/>
      <c r="E26" s="23">
        <v>1</v>
      </c>
      <c r="F26" s="12" t="s">
        <v>11</v>
      </c>
      <c r="G26" s="49" t="s">
        <v>5</v>
      </c>
      <c r="H26" s="49"/>
      <c r="I26" s="11" t="s">
        <v>6</v>
      </c>
    </row>
    <row r="27" spans="1:9" ht="20.25" customHeight="1" x14ac:dyDescent="0.4">
      <c r="A27" s="60" t="s">
        <v>163</v>
      </c>
      <c r="B27" s="60"/>
      <c r="C27" s="60"/>
      <c r="D27" s="61"/>
      <c r="E27" s="23">
        <v>1</v>
      </c>
      <c r="F27" s="12" t="s">
        <v>11</v>
      </c>
      <c r="G27" s="49" t="s">
        <v>5</v>
      </c>
      <c r="H27" s="49"/>
      <c r="I27" s="11" t="s">
        <v>6</v>
      </c>
    </row>
    <row r="28" spans="1:9" ht="20.25" customHeight="1" x14ac:dyDescent="0.4">
      <c r="A28" s="60" t="s">
        <v>36</v>
      </c>
      <c r="B28" s="60"/>
      <c r="C28" s="60"/>
      <c r="D28" s="61"/>
      <c r="E28" s="23">
        <v>22</v>
      </c>
      <c r="F28" s="12" t="s">
        <v>11</v>
      </c>
      <c r="G28" s="49" t="s">
        <v>5</v>
      </c>
      <c r="H28" s="49"/>
      <c r="I28" s="11" t="s">
        <v>6</v>
      </c>
    </row>
    <row r="29" spans="1:9" ht="20.25" customHeight="1" x14ac:dyDescent="0.4">
      <c r="A29" s="60" t="s">
        <v>164</v>
      </c>
      <c r="B29" s="60"/>
      <c r="C29" s="60"/>
      <c r="D29" s="61"/>
      <c r="E29" s="23">
        <v>9</v>
      </c>
      <c r="F29" s="12" t="s">
        <v>11</v>
      </c>
      <c r="G29" s="49" t="s">
        <v>5</v>
      </c>
      <c r="H29" s="49"/>
      <c r="I29" s="11" t="s">
        <v>6</v>
      </c>
    </row>
    <row r="30" spans="1:9" ht="20.25" customHeight="1" x14ac:dyDescent="0.4">
      <c r="A30" s="60" t="s">
        <v>165</v>
      </c>
      <c r="B30" s="60"/>
      <c r="C30" s="60"/>
      <c r="D30" s="61"/>
      <c r="E30" s="23">
        <v>13</v>
      </c>
      <c r="F30" s="12" t="s">
        <v>11</v>
      </c>
      <c r="G30" s="49" t="s">
        <v>5</v>
      </c>
      <c r="H30" s="49"/>
      <c r="I30" s="11" t="s">
        <v>6</v>
      </c>
    </row>
    <row r="31" spans="1:9" ht="19.7" customHeight="1" x14ac:dyDescent="0.4">
      <c r="A31" s="60" t="s">
        <v>166</v>
      </c>
      <c r="B31" s="60"/>
      <c r="C31" s="60"/>
      <c r="D31" s="61"/>
      <c r="E31" s="23">
        <v>9</v>
      </c>
      <c r="F31" s="12" t="s">
        <v>11</v>
      </c>
      <c r="G31" s="49" t="s">
        <v>5</v>
      </c>
      <c r="H31" s="49"/>
      <c r="I31" s="11" t="s">
        <v>6</v>
      </c>
    </row>
    <row r="32" spans="1:9" ht="10.5" customHeight="1" x14ac:dyDescent="0.25"/>
    <row r="33" spans="1:7" ht="26.25" x14ac:dyDescent="0.4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39">
    <mergeCell ref="A31:D31"/>
    <mergeCell ref="G30:H30"/>
    <mergeCell ref="A29:D29"/>
    <mergeCell ref="G29:H29"/>
    <mergeCell ref="G28:H28"/>
    <mergeCell ref="A30:D30"/>
    <mergeCell ref="G31:H31"/>
    <mergeCell ref="A28:D28"/>
    <mergeCell ref="A16:D16"/>
    <mergeCell ref="A17:D17"/>
    <mergeCell ref="A18:D18"/>
    <mergeCell ref="A19:D19"/>
    <mergeCell ref="A27:D27"/>
    <mergeCell ref="A23:D23"/>
    <mergeCell ref="A24:D24"/>
    <mergeCell ref="A25:D25"/>
    <mergeCell ref="A26:D26"/>
    <mergeCell ref="A20:D20"/>
    <mergeCell ref="B1:E1"/>
    <mergeCell ref="A3:D3"/>
    <mergeCell ref="A5:D5"/>
    <mergeCell ref="F5:H5"/>
    <mergeCell ref="A22:D22"/>
    <mergeCell ref="F22:H22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G23:H23"/>
    <mergeCell ref="G24:H24"/>
    <mergeCell ref="G25:H25"/>
    <mergeCell ref="G26:H26"/>
    <mergeCell ref="G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I35"/>
  <sheetViews>
    <sheetView showGridLines="0" view="pageLayout" zoomScale="110" zoomScaleNormal="100" zoomScalePageLayoutView="110" workbookViewId="0">
      <selection activeCell="G25" sqref="G25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3" customWidth="1"/>
    <col min="5" max="5" width="5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 t="s">
        <v>25</v>
      </c>
      <c r="C1" s="55"/>
      <c r="D1" s="55"/>
      <c r="E1" s="55"/>
      <c r="F1" s="1"/>
      <c r="G1" s="3" t="s">
        <v>4</v>
      </c>
      <c r="H1" s="2">
        <f>SUM(E6:E32)</f>
        <v>30</v>
      </c>
    </row>
    <row r="2" spans="1:9" ht="26.25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s="68" t="s">
        <v>26</v>
      </c>
      <c r="F3" s="68"/>
      <c r="G3" t="s">
        <v>235</v>
      </c>
      <c r="H3" t="s">
        <v>236</v>
      </c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" customHeight="1" thickTop="1" x14ac:dyDescent="0.4">
      <c r="A6" s="58" t="s">
        <v>27</v>
      </c>
      <c r="B6" s="58"/>
      <c r="C6" s="58"/>
      <c r="D6" s="59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" customHeight="1" x14ac:dyDescent="0.4">
      <c r="A7" s="60" t="s">
        <v>28</v>
      </c>
      <c r="B7" s="60"/>
      <c r="C7" s="60"/>
      <c r="D7" s="61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" customHeight="1" x14ac:dyDescent="0.4">
      <c r="A8" s="60" t="s">
        <v>29</v>
      </c>
      <c r="B8" s="60"/>
      <c r="C8" s="60"/>
      <c r="D8" s="61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" customHeight="1" x14ac:dyDescent="0.4">
      <c r="A9" s="60" t="s">
        <v>30</v>
      </c>
      <c r="B9" s="60"/>
      <c r="C9" s="60"/>
      <c r="D9" s="61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" customHeight="1" x14ac:dyDescent="0.4">
      <c r="A10" s="60" t="s">
        <v>31</v>
      </c>
      <c r="B10" s="60"/>
      <c r="C10" s="60"/>
      <c r="D10" s="61"/>
      <c r="E10" s="5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" customHeight="1" x14ac:dyDescent="0.4">
      <c r="A11" s="60" t="s">
        <v>287</v>
      </c>
      <c r="B11" s="60"/>
      <c r="C11" s="60"/>
      <c r="D11" s="61"/>
      <c r="E11" s="5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" customHeight="1" x14ac:dyDescent="0.4">
      <c r="A12" s="60" t="s">
        <v>32</v>
      </c>
      <c r="B12" s="60"/>
      <c r="C12" s="60"/>
      <c r="D12" s="61"/>
      <c r="E12" s="5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" customHeight="1" x14ac:dyDescent="0.4">
      <c r="A13" s="60" t="s">
        <v>33</v>
      </c>
      <c r="B13" s="60"/>
      <c r="C13" s="60"/>
      <c r="D13" s="61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" customHeight="1" x14ac:dyDescent="0.4">
      <c r="A14" s="60" t="s">
        <v>34</v>
      </c>
      <c r="B14" s="60"/>
      <c r="C14" s="60"/>
      <c r="D14" s="61"/>
      <c r="E14" s="5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" customHeight="1" x14ac:dyDescent="0.4">
      <c r="A15" s="19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" customHeight="1" x14ac:dyDescent="0.4">
      <c r="A16" s="19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" customHeight="1" x14ac:dyDescent="0.4">
      <c r="A17" s="19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" customHeight="1" x14ac:dyDescent="0.4">
      <c r="A18" s="19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" customHeight="1" x14ac:dyDescent="0.4">
      <c r="A19" s="19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" customHeight="1" x14ac:dyDescent="0.4">
      <c r="A20" s="19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" customHeight="1" x14ac:dyDescent="0.4">
      <c r="A21" s="19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" customHeight="1" x14ac:dyDescent="0.4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" customHeight="1" x14ac:dyDescent="0.4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" customHeight="1" x14ac:dyDescent="0.4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" customHeight="1" x14ac:dyDescent="0.4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" customHeight="1" x14ac:dyDescent="0.25"/>
    <row r="27" spans="1:9" ht="19.7" customHeight="1" thickBot="1" x14ac:dyDescent="0.4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19.7" customHeight="1" thickTop="1" x14ac:dyDescent="0.4">
      <c r="A28" s="35" t="s">
        <v>35</v>
      </c>
      <c r="B28" s="22"/>
      <c r="C28" s="22"/>
      <c r="D28" s="36"/>
      <c r="E28" s="23">
        <v>4</v>
      </c>
      <c r="F28" s="13" t="s">
        <v>11</v>
      </c>
      <c r="G28" s="54" t="s">
        <v>5</v>
      </c>
      <c r="H28" s="54"/>
      <c r="I28" s="14" t="s">
        <v>6</v>
      </c>
    </row>
    <row r="29" spans="1:9" ht="19.7" customHeight="1" x14ac:dyDescent="0.4">
      <c r="A29" s="23" t="s">
        <v>36</v>
      </c>
      <c r="B29" s="23"/>
      <c r="C29" s="23"/>
      <c r="D29" s="37"/>
      <c r="E29" s="23">
        <v>8</v>
      </c>
      <c r="F29" s="12" t="s">
        <v>11</v>
      </c>
      <c r="G29" s="49" t="s">
        <v>5</v>
      </c>
      <c r="H29" s="49"/>
      <c r="I29" s="11" t="s">
        <v>6</v>
      </c>
    </row>
    <row r="30" spans="1:9" ht="19.7" customHeight="1" x14ac:dyDescent="0.4">
      <c r="A30" s="23" t="s">
        <v>37</v>
      </c>
      <c r="B30" s="23"/>
      <c r="C30" s="23"/>
      <c r="D30" s="37"/>
      <c r="E30" s="23">
        <v>4</v>
      </c>
      <c r="F30" s="12" t="s">
        <v>11</v>
      </c>
      <c r="G30" s="49" t="s">
        <v>5</v>
      </c>
      <c r="H30" s="49"/>
      <c r="I30" s="11" t="s">
        <v>6</v>
      </c>
    </row>
    <row r="31" spans="1:9" ht="19.7" customHeight="1" x14ac:dyDescent="0.4">
      <c r="A31" s="23" t="s">
        <v>38</v>
      </c>
      <c r="B31" s="23"/>
      <c r="C31" s="23"/>
      <c r="D31" s="37"/>
      <c r="E31" s="23">
        <v>4</v>
      </c>
      <c r="F31" s="12" t="s">
        <v>11</v>
      </c>
      <c r="G31" s="49" t="s">
        <v>5</v>
      </c>
      <c r="H31" s="49"/>
      <c r="I31" s="11" t="s">
        <v>6</v>
      </c>
    </row>
    <row r="32" spans="1:9" ht="19.7" customHeight="1" x14ac:dyDescent="0.4">
      <c r="A32" s="38"/>
      <c r="B32" s="23"/>
      <c r="C32" s="23"/>
      <c r="D32" s="37"/>
      <c r="E32" s="23"/>
      <c r="F32" s="12" t="s">
        <v>11</v>
      </c>
      <c r="G32" s="49" t="s">
        <v>5</v>
      </c>
      <c r="H32" s="49"/>
      <c r="I32" s="11" t="s">
        <v>6</v>
      </c>
    </row>
    <row r="33" spans="1:9" ht="19.7" customHeight="1" x14ac:dyDescent="0.4">
      <c r="A33" s="8"/>
      <c r="B33" s="8"/>
      <c r="C33" s="8"/>
      <c r="D33" s="17"/>
      <c r="E33" s="8"/>
      <c r="F33" s="12" t="s">
        <v>11</v>
      </c>
      <c r="G33" s="49" t="s">
        <v>5</v>
      </c>
      <c r="H33" s="49"/>
      <c r="I33" s="11" t="s">
        <v>6</v>
      </c>
    </row>
    <row r="35" spans="1:9" ht="26.25" x14ac:dyDescent="0.4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22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13:D13"/>
    <mergeCell ref="A14:D14"/>
    <mergeCell ref="A8:D8"/>
    <mergeCell ref="A9:D9"/>
    <mergeCell ref="A10:D10"/>
    <mergeCell ref="A11:D11"/>
    <mergeCell ref="A12:D1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</sheetPr>
  <dimension ref="A1:I53"/>
  <sheetViews>
    <sheetView showGridLines="0" view="pageLayout" zoomScaleNormal="100" workbookViewId="0">
      <selection activeCell="B2" sqref="B2"/>
    </sheetView>
  </sheetViews>
  <sheetFormatPr defaultColWidth="11.42578125" defaultRowHeight="15" x14ac:dyDescent="0.25"/>
  <cols>
    <col min="1" max="1" width="20.140625" customWidth="1"/>
    <col min="2" max="2" width="19.140625" customWidth="1"/>
    <col min="3" max="3" width="0.85546875" customWidth="1"/>
    <col min="4" max="4" width="0.710937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3.45" customHeight="1" x14ac:dyDescent="0.25">
      <c r="A1" s="42" t="s">
        <v>0</v>
      </c>
      <c r="B1" s="69" t="s">
        <v>284</v>
      </c>
      <c r="C1" s="69"/>
      <c r="D1" s="69"/>
      <c r="E1" s="69"/>
      <c r="F1" s="43"/>
      <c r="G1" s="44" t="s">
        <v>4</v>
      </c>
      <c r="H1" s="45">
        <f>SUM(E6:E51)</f>
        <v>292</v>
      </c>
    </row>
    <row r="2" spans="1:9" ht="15.95" customHeight="1" x14ac:dyDescent="0.4">
      <c r="G2" s="3" t="s">
        <v>8</v>
      </c>
      <c r="H2">
        <v>0</v>
      </c>
    </row>
    <row r="3" spans="1:9" ht="16.5" customHeight="1" x14ac:dyDescent="0.35">
      <c r="A3" s="56" t="s">
        <v>1</v>
      </c>
      <c r="B3" s="56"/>
      <c r="C3" s="57"/>
      <c r="D3" s="57"/>
      <c r="E3" s="18" t="s">
        <v>39</v>
      </c>
      <c r="G3" t="s">
        <v>235</v>
      </c>
      <c r="H3" t="s">
        <v>237</v>
      </c>
    </row>
    <row r="5" spans="1:9" s="3" customFormat="1" ht="20.25" customHeight="1" thickBot="1" x14ac:dyDescent="0.45">
      <c r="A5" s="50" t="s">
        <v>2</v>
      </c>
      <c r="B5" s="50"/>
      <c r="C5" s="50"/>
      <c r="D5" s="51"/>
      <c r="E5" s="7" t="s">
        <v>10</v>
      </c>
      <c r="F5" s="50" t="s">
        <v>7</v>
      </c>
      <c r="G5" s="50"/>
      <c r="H5" s="50"/>
    </row>
    <row r="6" spans="1:9" ht="27" thickTop="1" x14ac:dyDescent="0.4">
      <c r="A6" s="4" t="s">
        <v>240</v>
      </c>
      <c r="B6" s="4" t="s">
        <v>241</v>
      </c>
      <c r="C6" s="4"/>
      <c r="D6" s="4"/>
      <c r="E6" s="9">
        <v>2</v>
      </c>
      <c r="F6" s="12" t="s">
        <v>11</v>
      </c>
      <c r="G6" s="11" t="s">
        <v>5</v>
      </c>
      <c r="H6" s="11" t="s">
        <v>9</v>
      </c>
      <c r="I6" s="11" t="s">
        <v>6</v>
      </c>
    </row>
    <row r="7" spans="1:9" ht="26.25" x14ac:dyDescent="0.4">
      <c r="A7" s="4" t="s">
        <v>239</v>
      </c>
      <c r="B7" s="4" t="s">
        <v>242</v>
      </c>
      <c r="C7" s="4"/>
      <c r="D7" s="4"/>
      <c r="E7" s="5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6.25" x14ac:dyDescent="0.4">
      <c r="A8" s="4" t="s">
        <v>243</v>
      </c>
      <c r="B8" s="4" t="s">
        <v>244</v>
      </c>
      <c r="C8" s="4"/>
      <c r="D8" s="4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6.25" x14ac:dyDescent="0.4">
      <c r="A9" s="4" t="s">
        <v>245</v>
      </c>
      <c r="B9" s="4" t="s">
        <v>246</v>
      </c>
      <c r="C9" s="4"/>
      <c r="D9" s="4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6.25" x14ac:dyDescent="0.4">
      <c r="A10" s="4" t="s">
        <v>247</v>
      </c>
      <c r="B10" s="4" t="s">
        <v>248</v>
      </c>
      <c r="C10" s="4"/>
      <c r="D10" s="4"/>
      <c r="E10" s="5">
        <v>8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6.25" x14ac:dyDescent="0.4">
      <c r="A11" s="4" t="s">
        <v>249</v>
      </c>
      <c r="B11" s="4" t="s">
        <v>250</v>
      </c>
      <c r="C11" s="4"/>
      <c r="D11" s="4"/>
      <c r="E11" s="5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6.25" x14ac:dyDescent="0.4">
      <c r="A12" s="4" t="s">
        <v>40</v>
      </c>
      <c r="B12" s="4" t="s">
        <v>40</v>
      </c>
      <c r="C12" s="4"/>
      <c r="D12" s="4"/>
      <c r="E12" s="5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6.25" x14ac:dyDescent="0.4">
      <c r="A13" s="4" t="s">
        <v>251</v>
      </c>
      <c r="B13" s="4" t="s">
        <v>252</v>
      </c>
      <c r="C13" s="4"/>
      <c r="D13" s="4"/>
      <c r="E13" s="5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6.25" x14ac:dyDescent="0.4">
      <c r="A14" s="4" t="s">
        <v>253</v>
      </c>
      <c r="B14" s="4" t="s">
        <v>254</v>
      </c>
      <c r="C14" s="4"/>
      <c r="D14" s="4"/>
      <c r="E14" s="5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6.25" x14ac:dyDescent="0.4">
      <c r="A15" s="4" t="s">
        <v>255</v>
      </c>
      <c r="B15" s="4" t="s">
        <v>256</v>
      </c>
      <c r="C15" s="4"/>
      <c r="D15" s="4"/>
      <c r="E15" s="5">
        <v>4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6.25" x14ac:dyDescent="0.4">
      <c r="A16" s="4" t="s">
        <v>258</v>
      </c>
      <c r="B16" s="4" t="s">
        <v>259</v>
      </c>
      <c r="C16" s="4"/>
      <c r="D16" s="4"/>
      <c r="E16" s="5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6.25" x14ac:dyDescent="0.4">
      <c r="A17" s="4" t="s">
        <v>41</v>
      </c>
      <c r="B17" s="4" t="s">
        <v>257</v>
      </c>
      <c r="C17" s="4"/>
      <c r="D17" s="4"/>
      <c r="E17" s="5">
        <v>24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6.25" x14ac:dyDescent="0.4">
      <c r="A18" s="4">
        <v>193</v>
      </c>
      <c r="B18" s="4" t="s">
        <v>260</v>
      </c>
      <c r="C18" s="4"/>
      <c r="D18" s="4"/>
      <c r="E18" s="5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6.25" x14ac:dyDescent="0.4">
      <c r="A19" s="4" t="s">
        <v>42</v>
      </c>
      <c r="B19" s="4" t="s">
        <v>261</v>
      </c>
      <c r="C19" s="4"/>
      <c r="D19" s="4"/>
      <c r="E19" s="5">
        <v>4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6.25" x14ac:dyDescent="0.4">
      <c r="A20" s="4" t="s">
        <v>43</v>
      </c>
      <c r="B20" s="4" t="s">
        <v>257</v>
      </c>
      <c r="C20" s="4"/>
      <c r="D20" s="4"/>
      <c r="E20" s="5">
        <v>4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6.25" x14ac:dyDescent="0.4">
      <c r="A21" s="4" t="s">
        <v>262</v>
      </c>
      <c r="B21" s="4" t="s">
        <v>263</v>
      </c>
      <c r="C21" s="4"/>
      <c r="D21" s="4"/>
      <c r="E21" s="5">
        <v>4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6.25" x14ac:dyDescent="0.4">
      <c r="A22" s="4" t="s">
        <v>264</v>
      </c>
      <c r="B22" s="4" t="s">
        <v>265</v>
      </c>
      <c r="C22" s="4"/>
      <c r="D22" s="4"/>
      <c r="E22" s="5">
        <v>6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6.25" x14ac:dyDescent="0.4">
      <c r="A23" s="4" t="s">
        <v>266</v>
      </c>
      <c r="B23" s="4" t="s">
        <v>267</v>
      </c>
      <c r="C23" s="4"/>
      <c r="D23" s="4"/>
      <c r="E23" s="5">
        <v>2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6.25" x14ac:dyDescent="0.4">
      <c r="A24" s="4" t="s">
        <v>268</v>
      </c>
      <c r="B24" s="4" t="s">
        <v>269</v>
      </c>
      <c r="C24" s="4"/>
      <c r="D24" s="4"/>
      <c r="E24" s="5">
        <v>2</v>
      </c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6.25" x14ac:dyDescent="0.4">
      <c r="A25" s="4" t="s">
        <v>44</v>
      </c>
      <c r="B25" s="4" t="s">
        <v>257</v>
      </c>
      <c r="C25" s="4"/>
      <c r="D25" s="4"/>
      <c r="E25" s="5">
        <v>8</v>
      </c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6.25" x14ac:dyDescent="0.4">
      <c r="A26" s="4" t="s">
        <v>270</v>
      </c>
      <c r="B26" s="4" t="s">
        <v>271</v>
      </c>
      <c r="C26" s="4"/>
      <c r="D26" s="4"/>
      <c r="E26" s="5">
        <v>2</v>
      </c>
      <c r="F26" s="12" t="s">
        <v>11</v>
      </c>
      <c r="G26" s="11" t="s">
        <v>5</v>
      </c>
      <c r="H26" s="11" t="s">
        <v>9</v>
      </c>
      <c r="I26" s="11" t="s">
        <v>6</v>
      </c>
    </row>
    <row r="27" spans="1:9" ht="26.25" x14ac:dyDescent="0.4">
      <c r="A27" s="4" t="s">
        <v>272</v>
      </c>
      <c r="B27" s="4" t="s">
        <v>273</v>
      </c>
      <c r="C27" s="4"/>
      <c r="D27" s="4"/>
      <c r="E27" s="5">
        <v>2</v>
      </c>
      <c r="F27" s="12" t="s">
        <v>11</v>
      </c>
      <c r="G27" s="11" t="s">
        <v>5</v>
      </c>
      <c r="H27" s="11" t="s">
        <v>9</v>
      </c>
      <c r="I27" s="11" t="s">
        <v>6</v>
      </c>
    </row>
    <row r="28" spans="1:9" ht="26.25" x14ac:dyDescent="0.4">
      <c r="A28" s="4" t="s">
        <v>274</v>
      </c>
      <c r="B28" s="4" t="s">
        <v>275</v>
      </c>
      <c r="C28" s="4"/>
      <c r="D28" s="4"/>
      <c r="E28" s="5">
        <v>2</v>
      </c>
      <c r="F28" s="12" t="s">
        <v>11</v>
      </c>
      <c r="G28" s="11" t="s">
        <v>5</v>
      </c>
      <c r="H28" s="11" t="s">
        <v>9</v>
      </c>
      <c r="I28" s="11" t="s">
        <v>6</v>
      </c>
    </row>
    <row r="29" spans="1:9" ht="26.25" x14ac:dyDescent="0.4">
      <c r="A29" s="4" t="s">
        <v>276</v>
      </c>
      <c r="B29" s="4" t="s">
        <v>277</v>
      </c>
      <c r="C29" s="4"/>
      <c r="D29" s="4"/>
      <c r="E29" s="5">
        <v>2</v>
      </c>
      <c r="F29" s="12" t="s">
        <v>11</v>
      </c>
      <c r="G29" s="11" t="s">
        <v>5</v>
      </c>
      <c r="H29" s="11" t="s">
        <v>9</v>
      </c>
      <c r="I29" s="11" t="s">
        <v>6</v>
      </c>
    </row>
    <row r="30" spans="1:9" ht="26.25" x14ac:dyDescent="0.4">
      <c r="A30" s="4" t="s">
        <v>278</v>
      </c>
      <c r="B30" s="4" t="s">
        <v>254</v>
      </c>
      <c r="C30" s="4"/>
      <c r="D30" s="4"/>
      <c r="E30" s="5">
        <v>2</v>
      </c>
      <c r="F30" s="12" t="s">
        <v>11</v>
      </c>
      <c r="G30" s="11" t="s">
        <v>5</v>
      </c>
      <c r="H30" s="11" t="s">
        <v>9</v>
      </c>
      <c r="I30" s="11" t="s">
        <v>6</v>
      </c>
    </row>
    <row r="31" spans="1:9" ht="26.25" x14ac:dyDescent="0.4">
      <c r="A31" s="4" t="s">
        <v>279</v>
      </c>
      <c r="B31" s="4" t="s">
        <v>280</v>
      </c>
      <c r="C31" s="4"/>
      <c r="D31" s="4"/>
      <c r="E31" s="5">
        <v>2</v>
      </c>
      <c r="F31" s="12" t="s">
        <v>11</v>
      </c>
      <c r="G31" s="11" t="s">
        <v>5</v>
      </c>
      <c r="H31" s="11" t="s">
        <v>9</v>
      </c>
      <c r="I31" s="11" t="s">
        <v>6</v>
      </c>
    </row>
    <row r="32" spans="1:9" ht="26.25" x14ac:dyDescent="0.4">
      <c r="A32" s="4" t="s">
        <v>210</v>
      </c>
      <c r="B32" s="4" t="s">
        <v>281</v>
      </c>
      <c r="C32" s="4"/>
      <c r="D32" s="4"/>
      <c r="E32" s="5">
        <v>2</v>
      </c>
      <c r="F32" s="12" t="s">
        <v>11</v>
      </c>
      <c r="G32" s="11" t="s">
        <v>5</v>
      </c>
      <c r="H32" s="11" t="s">
        <v>9</v>
      </c>
      <c r="I32" s="11" t="s">
        <v>6</v>
      </c>
    </row>
    <row r="33" spans="1:9" ht="26.25" x14ac:dyDescent="0.4">
      <c r="A33" s="4" t="s">
        <v>266</v>
      </c>
      <c r="B33" s="4" t="s">
        <v>257</v>
      </c>
      <c r="C33" s="4"/>
      <c r="D33" s="4"/>
      <c r="E33" s="5">
        <v>2</v>
      </c>
      <c r="F33" s="12" t="s">
        <v>11</v>
      </c>
      <c r="G33" s="11" t="s">
        <v>5</v>
      </c>
      <c r="H33" s="11" t="s">
        <v>9</v>
      </c>
      <c r="I33" s="11" t="s">
        <v>6</v>
      </c>
    </row>
    <row r="34" spans="1:9" ht="26.25" x14ac:dyDescent="0.4">
      <c r="A34" s="4" t="s">
        <v>211</v>
      </c>
      <c r="B34" s="4" t="s">
        <v>282</v>
      </c>
      <c r="C34" s="4"/>
      <c r="D34" s="4"/>
      <c r="E34" s="5">
        <v>2</v>
      </c>
      <c r="F34" s="12" t="s">
        <v>11</v>
      </c>
      <c r="G34" s="11" t="s">
        <v>5</v>
      </c>
      <c r="H34" s="11" t="s">
        <v>9</v>
      </c>
      <c r="I34" s="11" t="s">
        <v>6</v>
      </c>
    </row>
    <row r="35" spans="1:9" ht="26.25" x14ac:dyDescent="0.4">
      <c r="A35" s="4"/>
      <c r="B35" s="4"/>
      <c r="C35" s="4"/>
      <c r="D35" s="4"/>
      <c r="E35" s="5"/>
      <c r="F35" s="12"/>
      <c r="G35" s="11"/>
      <c r="H35" s="11"/>
      <c r="I35" s="11"/>
    </row>
    <row r="36" spans="1:9" ht="27" thickBot="1" x14ac:dyDescent="0.45">
      <c r="A36" s="50" t="s">
        <v>3</v>
      </c>
      <c r="B36" s="51"/>
      <c r="C36" s="50"/>
      <c r="D36" s="51"/>
      <c r="E36" s="10" t="s">
        <v>10</v>
      </c>
      <c r="F36" s="50" t="s">
        <v>7</v>
      </c>
      <c r="G36" s="51"/>
      <c r="H36" s="50"/>
      <c r="I36" s="11"/>
    </row>
    <row r="37" spans="1:9" ht="27" thickTop="1" x14ac:dyDescent="0.4">
      <c r="A37" s="4" t="s">
        <v>212</v>
      </c>
      <c r="B37" s="4" t="s">
        <v>283</v>
      </c>
      <c r="C37" s="4"/>
      <c r="D37" s="4"/>
      <c r="E37" s="5">
        <v>4</v>
      </c>
      <c r="F37" s="12" t="s">
        <v>11</v>
      </c>
      <c r="G37" s="11" t="s">
        <v>5</v>
      </c>
      <c r="H37" s="11" t="s">
        <v>9</v>
      </c>
      <c r="I37" s="11" t="s">
        <v>6</v>
      </c>
    </row>
    <row r="38" spans="1:9" ht="26.25" x14ac:dyDescent="0.4">
      <c r="A38" s="4" t="s">
        <v>213</v>
      </c>
      <c r="B38" s="4" t="s">
        <v>257</v>
      </c>
      <c r="C38" s="4"/>
      <c r="D38" s="4"/>
      <c r="E38" s="5">
        <v>4</v>
      </c>
      <c r="F38" s="12" t="s">
        <v>11</v>
      </c>
      <c r="G38" s="11" t="s">
        <v>5</v>
      </c>
      <c r="H38" s="11" t="s">
        <v>9</v>
      </c>
      <c r="I38" s="11" t="s">
        <v>6</v>
      </c>
    </row>
    <row r="39" spans="1:9" ht="26.25" x14ac:dyDescent="0.4">
      <c r="A39" s="4" t="s">
        <v>214</v>
      </c>
      <c r="B39" s="4" t="s">
        <v>257</v>
      </c>
      <c r="C39" s="4"/>
      <c r="D39" s="4"/>
      <c r="E39" s="5">
        <v>12</v>
      </c>
      <c r="F39" s="12" t="s">
        <v>11</v>
      </c>
      <c r="G39" s="11" t="s">
        <v>5</v>
      </c>
      <c r="H39" s="11" t="s">
        <v>9</v>
      </c>
      <c r="I39" s="11" t="s">
        <v>6</v>
      </c>
    </row>
    <row r="40" spans="1:9" ht="26.25" x14ac:dyDescent="0.4">
      <c r="A40" s="4" t="s">
        <v>215</v>
      </c>
      <c r="B40" s="4" t="s">
        <v>257</v>
      </c>
      <c r="C40" s="4"/>
      <c r="D40" s="4"/>
      <c r="E40" s="5">
        <v>12</v>
      </c>
      <c r="F40" s="12" t="s">
        <v>11</v>
      </c>
      <c r="G40" s="11" t="s">
        <v>5</v>
      </c>
      <c r="H40" s="11" t="s">
        <v>9</v>
      </c>
      <c r="I40" s="11" t="s">
        <v>6</v>
      </c>
    </row>
    <row r="41" spans="1:9" ht="26.25" x14ac:dyDescent="0.4">
      <c r="A41" s="4" t="s">
        <v>216</v>
      </c>
      <c r="B41" s="4" t="s">
        <v>257</v>
      </c>
      <c r="C41" s="4"/>
      <c r="D41" s="4"/>
      <c r="E41" s="5">
        <v>24</v>
      </c>
      <c r="F41" s="12" t="s">
        <v>11</v>
      </c>
      <c r="G41" s="11" t="s">
        <v>5</v>
      </c>
      <c r="H41" s="11" t="s">
        <v>9</v>
      </c>
      <c r="I41" s="11" t="s">
        <v>6</v>
      </c>
    </row>
    <row r="42" spans="1:9" ht="26.25" x14ac:dyDescent="0.4">
      <c r="A42" s="4" t="s">
        <v>53</v>
      </c>
      <c r="B42" s="4" t="s">
        <v>257</v>
      </c>
      <c r="C42" s="4"/>
      <c r="D42" s="4"/>
      <c r="E42" s="5">
        <v>8</v>
      </c>
      <c r="F42" s="12" t="s">
        <v>11</v>
      </c>
      <c r="G42" s="11" t="s">
        <v>5</v>
      </c>
      <c r="H42" s="11" t="s">
        <v>9</v>
      </c>
      <c r="I42" s="11" t="s">
        <v>6</v>
      </c>
    </row>
    <row r="43" spans="1:9" ht="26.25" x14ac:dyDescent="0.4">
      <c r="A43" s="4" t="s">
        <v>45</v>
      </c>
      <c r="B43" s="4" t="s">
        <v>257</v>
      </c>
      <c r="C43" s="4"/>
      <c r="D43" s="4"/>
      <c r="E43" s="5">
        <v>20</v>
      </c>
      <c r="F43" s="12" t="s">
        <v>11</v>
      </c>
      <c r="G43" s="11" t="s">
        <v>5</v>
      </c>
      <c r="H43" s="11" t="s">
        <v>9</v>
      </c>
      <c r="I43" s="11" t="s">
        <v>6</v>
      </c>
    </row>
    <row r="44" spans="1:9" ht="26.25" x14ac:dyDescent="0.4">
      <c r="A44" s="4" t="s">
        <v>46</v>
      </c>
      <c r="B44" s="4" t="s">
        <v>257</v>
      </c>
      <c r="C44" s="4"/>
      <c r="D44" s="4"/>
      <c r="E44" s="5">
        <v>40</v>
      </c>
      <c r="F44" s="12" t="s">
        <v>11</v>
      </c>
      <c r="G44" s="11" t="s">
        <v>5</v>
      </c>
      <c r="H44" s="11" t="s">
        <v>9</v>
      </c>
      <c r="I44" s="11" t="s">
        <v>6</v>
      </c>
    </row>
    <row r="45" spans="1:9" ht="26.25" x14ac:dyDescent="0.4">
      <c r="A45" s="4" t="s">
        <v>47</v>
      </c>
      <c r="B45" s="4" t="s">
        <v>257</v>
      </c>
      <c r="C45" s="4"/>
      <c r="D45" s="4"/>
      <c r="E45" s="5">
        <v>6</v>
      </c>
      <c r="F45" s="12" t="s">
        <v>11</v>
      </c>
      <c r="G45" s="11" t="s">
        <v>5</v>
      </c>
      <c r="H45" s="11" t="s">
        <v>9</v>
      </c>
      <c r="I45" s="11" t="s">
        <v>6</v>
      </c>
    </row>
    <row r="46" spans="1:9" ht="26.25" x14ac:dyDescent="0.4">
      <c r="A46" s="4" t="s">
        <v>48</v>
      </c>
      <c r="B46" s="4" t="s">
        <v>257</v>
      </c>
      <c r="C46" s="4"/>
      <c r="D46" s="4"/>
      <c r="E46" s="5">
        <v>6</v>
      </c>
      <c r="F46" s="12" t="s">
        <v>11</v>
      </c>
      <c r="G46" s="11" t="s">
        <v>5</v>
      </c>
      <c r="H46" s="11" t="s">
        <v>9</v>
      </c>
      <c r="I46" s="11" t="s">
        <v>6</v>
      </c>
    </row>
    <row r="47" spans="1:9" ht="26.25" x14ac:dyDescent="0.4">
      <c r="A47" s="4" t="s">
        <v>49</v>
      </c>
      <c r="B47" s="4" t="s">
        <v>257</v>
      </c>
      <c r="C47" s="4"/>
      <c r="D47" s="4"/>
      <c r="E47" s="5">
        <v>8</v>
      </c>
      <c r="F47" s="12" t="s">
        <v>11</v>
      </c>
      <c r="G47" s="11" t="s">
        <v>5</v>
      </c>
      <c r="H47" s="11" t="s">
        <v>9</v>
      </c>
      <c r="I47" s="11" t="s">
        <v>6</v>
      </c>
    </row>
    <row r="48" spans="1:9" ht="26.25" x14ac:dyDescent="0.4">
      <c r="A48" s="4" t="s">
        <v>50</v>
      </c>
      <c r="B48" s="4" t="s">
        <v>257</v>
      </c>
      <c r="C48" s="4"/>
      <c r="D48" s="4"/>
      <c r="E48" s="5">
        <v>12</v>
      </c>
      <c r="F48" s="12" t="s">
        <v>11</v>
      </c>
      <c r="G48" s="11" t="s">
        <v>5</v>
      </c>
      <c r="H48" s="11" t="s">
        <v>9</v>
      </c>
      <c r="I48" s="11" t="s">
        <v>6</v>
      </c>
    </row>
    <row r="49" spans="1:9" ht="26.25" x14ac:dyDescent="0.4">
      <c r="A49" s="4" t="s">
        <v>51</v>
      </c>
      <c r="B49" s="4" t="s">
        <v>257</v>
      </c>
      <c r="C49" s="4"/>
      <c r="D49" s="4"/>
      <c r="E49" s="5">
        <v>24</v>
      </c>
      <c r="F49" s="12" t="s">
        <v>11</v>
      </c>
      <c r="G49" s="11" t="s">
        <v>5</v>
      </c>
      <c r="H49" s="11" t="s">
        <v>9</v>
      </c>
      <c r="I49" s="11" t="s">
        <v>6</v>
      </c>
    </row>
    <row r="50" spans="1:9" ht="26.25" x14ac:dyDescent="0.4">
      <c r="A50" s="4" t="s">
        <v>52</v>
      </c>
      <c r="B50" s="4" t="s">
        <v>257</v>
      </c>
      <c r="C50" s="4"/>
      <c r="D50" s="4"/>
      <c r="E50" s="5">
        <v>4</v>
      </c>
      <c r="F50" s="12" t="s">
        <v>11</v>
      </c>
      <c r="G50" s="11" t="s">
        <v>5</v>
      </c>
      <c r="H50" s="11" t="s">
        <v>9</v>
      </c>
      <c r="I50" s="11" t="s">
        <v>6</v>
      </c>
    </row>
    <row r="51" spans="1:9" ht="26.25" x14ac:dyDescent="0.4">
      <c r="G51" s="11"/>
      <c r="H51" s="11"/>
      <c r="I51" s="11"/>
    </row>
    <row r="53" spans="1:9" ht="26.25" x14ac:dyDescent="0.4">
      <c r="F53" s="11" t="s">
        <v>14</v>
      </c>
      <c r="G53" s="11" t="s">
        <v>16</v>
      </c>
    </row>
  </sheetData>
  <mergeCells count="6">
    <mergeCell ref="A36:D36"/>
    <mergeCell ref="F36:H36"/>
    <mergeCell ref="B1:E1"/>
    <mergeCell ref="A3:D3"/>
    <mergeCell ref="A5:D5"/>
    <mergeCell ref="F5:H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I34"/>
  <sheetViews>
    <sheetView showGridLines="0" view="pageLayout" zoomScaleNormal="100" workbookViewId="0">
      <selection activeCell="G3" sqref="G3:H3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 t="s">
        <v>54</v>
      </c>
      <c r="C1" s="55"/>
      <c r="D1" s="55"/>
      <c r="E1" s="55"/>
      <c r="F1" s="1"/>
      <c r="G1" s="3" t="s">
        <v>4</v>
      </c>
      <c r="H1">
        <f>SUM(E6:E32)</f>
        <v>114</v>
      </c>
    </row>
    <row r="2" spans="1:9" ht="26.25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s="18" t="s">
        <v>55</v>
      </c>
      <c r="G3" t="s">
        <v>235</v>
      </c>
      <c r="H3" t="s">
        <v>236</v>
      </c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25" customHeight="1" thickTop="1" x14ac:dyDescent="0.4">
      <c r="A6" t="s">
        <v>56</v>
      </c>
      <c r="B6" s="15"/>
      <c r="C6" s="15"/>
      <c r="D6" s="15"/>
      <c r="E6" s="6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4">
      <c r="A7" t="s">
        <v>57</v>
      </c>
      <c r="B7" s="4"/>
      <c r="C7" s="4"/>
      <c r="D7" s="4"/>
      <c r="E7" s="9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4">
      <c r="A8" t="s">
        <v>58</v>
      </c>
      <c r="B8" s="4"/>
      <c r="C8" s="4"/>
      <c r="D8" s="4"/>
      <c r="E8" s="9">
        <v>2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4">
      <c r="A9" t="s">
        <v>59</v>
      </c>
      <c r="B9" s="4"/>
      <c r="C9" s="4"/>
      <c r="D9" s="4"/>
      <c r="E9" s="9">
        <v>2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4">
      <c r="A10" t="s">
        <v>60</v>
      </c>
      <c r="B10" s="4"/>
      <c r="C10" s="4"/>
      <c r="D10" s="4"/>
      <c r="E10" s="9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4">
      <c r="A11" t="s">
        <v>61</v>
      </c>
      <c r="B11" s="4"/>
      <c r="C11" s="4"/>
      <c r="D11" s="4"/>
      <c r="E11" s="9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4">
      <c r="A12" t="s">
        <v>62</v>
      </c>
      <c r="B12" s="4"/>
      <c r="C12" s="4"/>
      <c r="D12" s="4"/>
      <c r="E12" s="9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4">
      <c r="A13" t="s">
        <v>63</v>
      </c>
      <c r="B13" s="4"/>
      <c r="C13" s="4"/>
      <c r="D13" s="4"/>
      <c r="E13" s="9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4">
      <c r="A14" t="s">
        <v>64</v>
      </c>
      <c r="B14" s="4"/>
      <c r="C14" s="4"/>
      <c r="D14" s="4"/>
      <c r="E14" s="9">
        <v>2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4">
      <c r="A15" t="s">
        <v>65</v>
      </c>
      <c r="B15" s="4"/>
      <c r="C15" s="4"/>
      <c r="D15" s="4"/>
      <c r="E15" s="9">
        <v>2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4">
      <c r="A16" t="s">
        <v>66</v>
      </c>
      <c r="B16" s="4"/>
      <c r="C16" s="4"/>
      <c r="D16" s="4"/>
      <c r="E16" s="9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4">
      <c r="A17" t="s">
        <v>67</v>
      </c>
      <c r="B17" s="4"/>
      <c r="C17" s="4"/>
      <c r="D17" s="4"/>
      <c r="E17" s="9">
        <v>2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4">
      <c r="A18" t="s">
        <v>68</v>
      </c>
      <c r="B18" s="4"/>
      <c r="C18" s="4"/>
      <c r="D18" s="4"/>
      <c r="E18" s="9">
        <v>2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4">
      <c r="A19" t="s">
        <v>69</v>
      </c>
      <c r="B19" s="4"/>
      <c r="C19" s="4"/>
      <c r="D19" s="4"/>
      <c r="E19" s="9">
        <v>2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4">
      <c r="A20" t="s">
        <v>70</v>
      </c>
      <c r="B20" s="4"/>
      <c r="C20" s="4"/>
      <c r="D20" s="4"/>
      <c r="E20" s="9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4">
      <c r="A21" t="s">
        <v>71</v>
      </c>
      <c r="B21" s="4"/>
      <c r="C21" s="4"/>
      <c r="D21" s="4"/>
      <c r="E21" s="9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4">
      <c r="A22" t="s">
        <v>72</v>
      </c>
      <c r="D22" s="4"/>
      <c r="E22" s="9">
        <f>18*2</f>
        <v>36</v>
      </c>
      <c r="F22" s="12"/>
      <c r="G22" s="11"/>
      <c r="H22" s="11"/>
      <c r="I22" s="11"/>
    </row>
    <row r="23" spans="1:9" ht="20.25" customHeight="1" x14ac:dyDescent="0.4">
      <c r="A23" t="s">
        <v>73</v>
      </c>
      <c r="B23" s="4"/>
      <c r="C23" s="4"/>
      <c r="D23" s="4"/>
      <c r="E23" s="9">
        <v>2</v>
      </c>
      <c r="F23" s="12"/>
      <c r="G23" s="11"/>
      <c r="H23" s="11"/>
      <c r="I23" s="11"/>
    </row>
    <row r="24" spans="1:9" ht="20.25" customHeight="1" x14ac:dyDescent="0.4">
      <c r="A24" t="s">
        <v>74</v>
      </c>
      <c r="B24" s="4"/>
      <c r="C24" s="4"/>
      <c r="D24" s="4"/>
      <c r="E24" s="9">
        <v>2</v>
      </c>
      <c r="F24" s="12"/>
      <c r="G24" s="11"/>
      <c r="H24" s="11"/>
      <c r="I24" s="11"/>
    </row>
    <row r="25" spans="1:9" ht="20.25" customHeight="1" x14ac:dyDescent="0.4">
      <c r="A25" t="s">
        <v>75</v>
      </c>
      <c r="B25" s="4"/>
      <c r="C25" s="4"/>
      <c r="D25" s="4"/>
      <c r="E25" s="9">
        <v>2</v>
      </c>
      <c r="F25" s="12"/>
      <c r="G25" s="11"/>
      <c r="H25" s="11"/>
      <c r="I25" s="11"/>
    </row>
    <row r="26" spans="1:9" ht="20.25" customHeight="1" x14ac:dyDescent="0.4">
      <c r="A26" t="s">
        <v>76</v>
      </c>
      <c r="B26" s="4"/>
      <c r="C26" s="4"/>
      <c r="D26" s="4"/>
      <c r="E26" s="5">
        <v>2</v>
      </c>
      <c r="F26" s="12"/>
      <c r="G26" s="11"/>
      <c r="H26" s="11"/>
      <c r="I26" s="11"/>
    </row>
    <row r="27" spans="1:9" ht="20.25" customHeight="1" x14ac:dyDescent="0.4">
      <c r="A27" t="s">
        <v>77</v>
      </c>
      <c r="B27" s="4"/>
      <c r="C27" s="4"/>
      <c r="D27" s="4"/>
      <c r="E27" s="5">
        <v>2</v>
      </c>
      <c r="F27" s="12"/>
      <c r="G27" s="11"/>
      <c r="H27" s="11"/>
      <c r="I27" s="11"/>
    </row>
    <row r="28" spans="1:9" ht="20.25" customHeight="1" x14ac:dyDescent="0.25"/>
    <row r="29" spans="1:9" ht="20.25" customHeight="1" thickBot="1" x14ac:dyDescent="0.45">
      <c r="A29" s="50" t="s">
        <v>3</v>
      </c>
      <c r="B29" s="51"/>
      <c r="C29" s="50"/>
      <c r="D29" s="51"/>
      <c r="E29" s="10" t="s">
        <v>10</v>
      </c>
      <c r="F29" s="52" t="s">
        <v>7</v>
      </c>
      <c r="G29" s="53"/>
      <c r="H29" s="53"/>
      <c r="I29" s="3"/>
    </row>
    <row r="30" spans="1:9" ht="20.25" customHeight="1" thickTop="1" x14ac:dyDescent="0.4">
      <c r="A30" t="s">
        <v>78</v>
      </c>
      <c r="B30" s="4"/>
      <c r="C30" s="4"/>
      <c r="D30" s="4"/>
      <c r="E30" s="9">
        <v>18</v>
      </c>
      <c r="F30" s="13" t="s">
        <v>11</v>
      </c>
      <c r="G30" s="54" t="s">
        <v>5</v>
      </c>
      <c r="H30" s="54"/>
      <c r="I30" s="14" t="s">
        <v>6</v>
      </c>
    </row>
    <row r="31" spans="1:9" ht="20.25" customHeight="1" x14ac:dyDescent="0.4">
      <c r="A31" t="s">
        <v>79</v>
      </c>
      <c r="B31" s="4"/>
      <c r="C31" s="4"/>
      <c r="D31" s="4"/>
      <c r="E31" s="9">
        <v>18</v>
      </c>
      <c r="F31" s="12" t="s">
        <v>11</v>
      </c>
      <c r="G31" s="49" t="s">
        <v>5</v>
      </c>
      <c r="H31" s="49"/>
      <c r="I31" s="11" t="s">
        <v>6</v>
      </c>
    </row>
    <row r="32" spans="1:9" ht="20.25" customHeight="1" x14ac:dyDescent="0.4">
      <c r="A32" s="8"/>
      <c r="B32" s="8"/>
      <c r="C32" s="8"/>
      <c r="D32" s="17"/>
      <c r="E32" s="8"/>
      <c r="F32" s="12" t="s">
        <v>11</v>
      </c>
      <c r="G32" s="49" t="s">
        <v>5</v>
      </c>
      <c r="H32" s="49"/>
      <c r="I32" s="11" t="s">
        <v>6</v>
      </c>
    </row>
    <row r="34" spans="1:7" ht="26.25" x14ac:dyDescent="0.4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9">
    <mergeCell ref="G30:H30"/>
    <mergeCell ref="G31:H31"/>
    <mergeCell ref="G32:H32"/>
    <mergeCell ref="B1:E1"/>
    <mergeCell ref="A3:D3"/>
    <mergeCell ref="A5:D5"/>
    <mergeCell ref="F5:H5"/>
    <mergeCell ref="A29:D29"/>
    <mergeCell ref="F29:H29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3" customWidth="1"/>
    <col min="5" max="5" width="5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 t="s">
        <v>80</v>
      </c>
      <c r="C1" s="55"/>
      <c r="D1" s="55"/>
      <c r="E1" s="55"/>
      <c r="F1" s="1"/>
      <c r="G1" s="3" t="s">
        <v>4</v>
      </c>
      <c r="H1">
        <f>SUM(E6:E33)</f>
        <v>64</v>
      </c>
    </row>
    <row r="2" spans="1:9" ht="26.25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s="18" t="s">
        <v>81</v>
      </c>
      <c r="G3" t="s">
        <v>235</v>
      </c>
      <c r="H3" t="s">
        <v>236</v>
      </c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" customHeight="1" thickTop="1" x14ac:dyDescent="0.4">
      <c r="A6" s="58" t="s">
        <v>82</v>
      </c>
      <c r="B6" s="58"/>
      <c r="C6" s="58"/>
      <c r="D6" s="59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" customHeight="1" x14ac:dyDescent="0.4">
      <c r="A7" s="60" t="s">
        <v>83</v>
      </c>
      <c r="B7" s="60"/>
      <c r="C7" s="60"/>
      <c r="D7" s="61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" customHeight="1" x14ac:dyDescent="0.4">
      <c r="A8" s="60" t="s">
        <v>84</v>
      </c>
      <c r="B8" s="60"/>
      <c r="C8" s="60"/>
      <c r="D8" s="61"/>
      <c r="E8" s="5">
        <v>4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" customHeight="1" x14ac:dyDescent="0.4">
      <c r="A9" s="60" t="s">
        <v>85</v>
      </c>
      <c r="B9" s="60"/>
      <c r="C9" s="60"/>
      <c r="D9" s="61"/>
      <c r="E9" s="5">
        <v>4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" customHeight="1" x14ac:dyDescent="0.4">
      <c r="A10" s="60" t="s">
        <v>86</v>
      </c>
      <c r="B10" s="60"/>
      <c r="C10" s="60"/>
      <c r="D10" s="61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" customHeight="1" x14ac:dyDescent="0.4">
      <c r="A11" s="60" t="s">
        <v>87</v>
      </c>
      <c r="B11" s="60"/>
      <c r="C11" s="60"/>
      <c r="D11" s="61"/>
      <c r="E11" s="5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" customHeight="1" x14ac:dyDescent="0.4">
      <c r="A12" s="60" t="s">
        <v>88</v>
      </c>
      <c r="B12" s="60"/>
      <c r="C12" s="60"/>
      <c r="D12" s="61"/>
      <c r="E12" s="5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" customHeight="1" x14ac:dyDescent="0.4">
      <c r="A13" s="60" t="s">
        <v>89</v>
      </c>
      <c r="B13" s="60"/>
      <c r="C13" s="60"/>
      <c r="D13" s="61"/>
      <c r="E13" s="5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" customHeight="1" x14ac:dyDescent="0.4">
      <c r="A14" s="60" t="s">
        <v>90</v>
      </c>
      <c r="B14" s="60"/>
      <c r="C14" s="60"/>
      <c r="D14" s="61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" customHeight="1" x14ac:dyDescent="0.4">
      <c r="A15" s="60" t="s">
        <v>91</v>
      </c>
      <c r="B15" s="60"/>
      <c r="C15" s="60"/>
      <c r="D15" s="61"/>
      <c r="E15" s="5">
        <v>2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" customHeight="1" x14ac:dyDescent="0.4">
      <c r="A16" s="60" t="s">
        <v>92</v>
      </c>
      <c r="B16" s="60"/>
      <c r="C16" s="60"/>
      <c r="D16" s="61"/>
      <c r="E16" s="5">
        <v>2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" customHeight="1" x14ac:dyDescent="0.4">
      <c r="A17" s="60" t="s">
        <v>93</v>
      </c>
      <c r="B17" s="60"/>
      <c r="C17" s="60"/>
      <c r="D17" s="61"/>
      <c r="E17" s="5">
        <v>4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" customHeight="1" x14ac:dyDescent="0.4">
      <c r="A18" s="60" t="s">
        <v>94</v>
      </c>
      <c r="B18" s="60"/>
      <c r="C18" s="60"/>
      <c r="D18" s="61"/>
      <c r="E18" s="5">
        <v>4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" customHeight="1" x14ac:dyDescent="0.4">
      <c r="A19" s="60" t="s">
        <v>95</v>
      </c>
      <c r="B19" s="60"/>
      <c r="C19" s="60"/>
      <c r="D19" s="61"/>
      <c r="E19" s="5">
        <v>2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" customHeight="1" x14ac:dyDescent="0.4">
      <c r="A20" s="60" t="s">
        <v>96</v>
      </c>
      <c r="B20" s="60"/>
      <c r="C20" s="60"/>
      <c r="D20" s="61"/>
      <c r="E20" s="5">
        <v>2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" customHeight="1" x14ac:dyDescent="0.4">
      <c r="A21" s="60"/>
      <c r="B21" s="60"/>
      <c r="C21" s="60"/>
      <c r="D21" s="61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" customHeight="1" x14ac:dyDescent="0.4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" customHeight="1" x14ac:dyDescent="0.4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" customHeight="1" x14ac:dyDescent="0.4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" customHeight="1" x14ac:dyDescent="0.4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" customHeight="1" x14ac:dyDescent="0.25"/>
    <row r="27" spans="1:9" ht="19.7" customHeight="1" thickBot="1" x14ac:dyDescent="0.4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19.7" customHeight="1" thickTop="1" x14ac:dyDescent="0.4">
      <c r="A28" s="35" t="s">
        <v>35</v>
      </c>
      <c r="B28" s="22"/>
      <c r="C28" s="22"/>
      <c r="D28" s="36"/>
      <c r="E28" s="23">
        <v>4</v>
      </c>
      <c r="F28" s="13" t="s">
        <v>11</v>
      </c>
      <c r="G28" s="54" t="s">
        <v>5</v>
      </c>
      <c r="H28" s="54"/>
      <c r="I28" s="14" t="s">
        <v>6</v>
      </c>
    </row>
    <row r="29" spans="1:9" ht="19.7" customHeight="1" x14ac:dyDescent="0.4">
      <c r="A29" s="23" t="s">
        <v>36</v>
      </c>
      <c r="B29" s="23"/>
      <c r="C29" s="23"/>
      <c r="D29" s="37"/>
      <c r="E29" s="23">
        <v>8</v>
      </c>
      <c r="F29" s="12" t="s">
        <v>11</v>
      </c>
      <c r="G29" s="49" t="s">
        <v>5</v>
      </c>
      <c r="H29" s="49"/>
      <c r="I29" s="11" t="s">
        <v>6</v>
      </c>
    </row>
    <row r="30" spans="1:9" ht="19.7" customHeight="1" x14ac:dyDescent="0.4">
      <c r="A30" s="23" t="s">
        <v>97</v>
      </c>
      <c r="B30" s="23"/>
      <c r="C30" s="23"/>
      <c r="D30" s="37"/>
      <c r="E30" s="23">
        <v>4</v>
      </c>
      <c r="F30" s="12" t="s">
        <v>11</v>
      </c>
      <c r="G30" s="49" t="s">
        <v>5</v>
      </c>
      <c r="H30" s="49"/>
      <c r="I30" s="11" t="s">
        <v>6</v>
      </c>
    </row>
    <row r="31" spans="1:9" ht="19.7" customHeight="1" x14ac:dyDescent="0.4">
      <c r="A31" s="23" t="s">
        <v>98</v>
      </c>
      <c r="B31" s="23"/>
      <c r="C31" s="23"/>
      <c r="D31" s="37"/>
      <c r="E31" s="23">
        <v>8</v>
      </c>
      <c r="F31" s="12" t="s">
        <v>11</v>
      </c>
      <c r="G31" s="49" t="s">
        <v>5</v>
      </c>
      <c r="H31" s="49"/>
      <c r="I31" s="11" t="s">
        <v>6</v>
      </c>
    </row>
    <row r="32" spans="1:9" ht="19.7" customHeight="1" x14ac:dyDescent="0.4">
      <c r="A32" s="23" t="s">
        <v>38</v>
      </c>
      <c r="B32" s="23"/>
      <c r="C32" s="23"/>
      <c r="D32" s="37"/>
      <c r="E32" s="23">
        <v>8</v>
      </c>
      <c r="F32" s="12" t="s">
        <v>11</v>
      </c>
      <c r="G32" s="49" t="s">
        <v>5</v>
      </c>
      <c r="H32" s="49"/>
      <c r="I32" s="11" t="s">
        <v>6</v>
      </c>
    </row>
    <row r="33" spans="1:9" ht="19.7" customHeight="1" x14ac:dyDescent="0.4">
      <c r="A33" s="8"/>
      <c r="B33" s="8"/>
      <c r="C33" s="8"/>
      <c r="D33" s="17"/>
      <c r="E33" s="8"/>
      <c r="F33" s="12" t="s">
        <v>11</v>
      </c>
      <c r="G33" s="49" t="s">
        <v>5</v>
      </c>
      <c r="H33" s="49"/>
      <c r="I33" s="11" t="s">
        <v>6</v>
      </c>
    </row>
    <row r="35" spans="1:9" ht="26.25" x14ac:dyDescent="0.4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28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8:D8"/>
    <mergeCell ref="A9:D9"/>
    <mergeCell ref="A10:D10"/>
    <mergeCell ref="A11:D11"/>
    <mergeCell ref="A12:D12"/>
    <mergeCell ref="A13:D13"/>
    <mergeCell ref="A19:D19"/>
    <mergeCell ref="A20:D20"/>
    <mergeCell ref="A21:D21"/>
    <mergeCell ref="A14:D14"/>
    <mergeCell ref="A15:D15"/>
    <mergeCell ref="A16:D16"/>
    <mergeCell ref="A17:D17"/>
    <mergeCell ref="A18:D1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A15" sqref="A15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1406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 t="s">
        <v>99</v>
      </c>
      <c r="C1" s="55"/>
      <c r="D1" s="55"/>
      <c r="E1" s="55"/>
      <c r="F1" s="1"/>
      <c r="G1" s="3" t="s">
        <v>4</v>
      </c>
      <c r="H1">
        <f>SUM(E6:E33)</f>
        <v>33</v>
      </c>
    </row>
    <row r="2" spans="1:9" ht="26.25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s="18" t="s">
        <v>81</v>
      </c>
      <c r="G3" t="s">
        <v>235</v>
      </c>
      <c r="H3" t="s">
        <v>236</v>
      </c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" customHeight="1" thickTop="1" x14ac:dyDescent="0.4">
      <c r="A6" s="22" t="s">
        <v>100</v>
      </c>
      <c r="B6" s="22"/>
      <c r="C6" s="22"/>
      <c r="D6" s="22"/>
      <c r="E6" s="39">
        <v>2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" customHeight="1" x14ac:dyDescent="0.4">
      <c r="A7" s="35" t="s">
        <v>101</v>
      </c>
      <c r="B7" s="35"/>
      <c r="C7" s="35"/>
      <c r="D7" s="35"/>
      <c r="E7" s="40">
        <v>2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" customHeight="1" x14ac:dyDescent="0.4">
      <c r="A8" s="35" t="s">
        <v>102</v>
      </c>
      <c r="B8" s="35"/>
      <c r="C8" s="35"/>
      <c r="D8" s="35"/>
      <c r="E8" s="41">
        <v>2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" customHeight="1" x14ac:dyDescent="0.4">
      <c r="A9" s="35" t="s">
        <v>103</v>
      </c>
      <c r="B9" s="35"/>
      <c r="C9" s="35"/>
      <c r="D9" s="35"/>
      <c r="E9" s="41">
        <v>2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" customHeight="1" x14ac:dyDescent="0.4">
      <c r="A10" s="35" t="s">
        <v>104</v>
      </c>
      <c r="B10" s="35"/>
      <c r="C10" s="35"/>
      <c r="D10" s="35"/>
      <c r="E10" s="41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" customHeight="1" x14ac:dyDescent="0.4">
      <c r="A11" s="35" t="s">
        <v>105</v>
      </c>
      <c r="B11" s="35"/>
      <c r="C11" s="35"/>
      <c r="D11" s="35"/>
      <c r="E11" s="41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" customHeight="1" x14ac:dyDescent="0.4">
      <c r="A12" s="35" t="s">
        <v>106</v>
      </c>
      <c r="B12" s="35"/>
      <c r="C12" s="35"/>
      <c r="D12" s="35"/>
      <c r="E12" s="41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" customHeight="1" x14ac:dyDescent="0.4">
      <c r="A13" s="35" t="s">
        <v>107</v>
      </c>
      <c r="B13" s="35"/>
      <c r="C13" s="35"/>
      <c r="D13" s="35"/>
      <c r="E13" s="41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" customHeight="1" x14ac:dyDescent="0.4">
      <c r="A14" s="35" t="s">
        <v>167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" customHeight="1" x14ac:dyDescent="0.4">
      <c r="A15" s="35" t="s">
        <v>168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" customHeight="1" x14ac:dyDescent="0.4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" customHeight="1" x14ac:dyDescent="0.4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" customHeight="1" x14ac:dyDescent="0.4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" customHeight="1" x14ac:dyDescent="0.4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" customHeight="1" x14ac:dyDescent="0.4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" customHeight="1" x14ac:dyDescent="0.4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" customHeight="1" x14ac:dyDescent="0.4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" customHeight="1" x14ac:dyDescent="0.4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" customHeight="1" x14ac:dyDescent="0.4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19.7" customHeight="1" x14ac:dyDescent="0.4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19.7" customHeight="1" x14ac:dyDescent="0.25"/>
    <row r="27" spans="1:9" ht="19.7" customHeight="1" thickBot="1" x14ac:dyDescent="0.45">
      <c r="A27" s="50" t="s">
        <v>3</v>
      </c>
      <c r="B27" s="51"/>
      <c r="C27" s="50"/>
      <c r="D27" s="51"/>
      <c r="E27" s="10" t="s">
        <v>10</v>
      </c>
      <c r="F27" s="52" t="s">
        <v>7</v>
      </c>
      <c r="G27" s="53"/>
      <c r="H27" s="53"/>
      <c r="I27" s="3"/>
    </row>
    <row r="28" spans="1:9" ht="19.7" customHeight="1" thickTop="1" x14ac:dyDescent="0.4">
      <c r="A28" s="22" t="s">
        <v>20</v>
      </c>
      <c r="B28" s="22"/>
      <c r="C28" s="22"/>
      <c r="D28" s="36"/>
      <c r="E28" s="23">
        <v>8</v>
      </c>
      <c r="F28" s="13" t="s">
        <v>11</v>
      </c>
      <c r="G28" s="54" t="s">
        <v>5</v>
      </c>
      <c r="H28" s="54"/>
      <c r="I28" s="14" t="s">
        <v>6</v>
      </c>
    </row>
    <row r="29" spans="1:9" ht="19.7" customHeight="1" x14ac:dyDescent="0.4">
      <c r="A29" s="23" t="s">
        <v>21</v>
      </c>
      <c r="B29" s="23"/>
      <c r="C29" s="23"/>
      <c r="D29" s="37"/>
      <c r="E29" s="23">
        <v>8</v>
      </c>
      <c r="F29" s="12" t="s">
        <v>11</v>
      </c>
      <c r="G29" s="49" t="s">
        <v>5</v>
      </c>
      <c r="H29" s="49"/>
      <c r="I29" s="11" t="s">
        <v>6</v>
      </c>
    </row>
    <row r="30" spans="1:9" ht="19.7" customHeight="1" x14ac:dyDescent="0.4">
      <c r="A30" s="8"/>
      <c r="B30" s="8"/>
      <c r="C30" s="8"/>
      <c r="D30" s="17"/>
      <c r="E30" s="8"/>
      <c r="F30" s="12" t="s">
        <v>11</v>
      </c>
      <c r="G30" s="49" t="s">
        <v>5</v>
      </c>
      <c r="H30" s="49"/>
      <c r="I30" s="11" t="s">
        <v>6</v>
      </c>
    </row>
    <row r="31" spans="1:9" ht="19.7" customHeight="1" x14ac:dyDescent="0.4">
      <c r="A31" s="8"/>
      <c r="B31" s="8"/>
      <c r="C31" s="8"/>
      <c r="D31" s="17"/>
      <c r="E31" s="8"/>
      <c r="F31" s="12" t="s">
        <v>11</v>
      </c>
      <c r="G31" s="49" t="s">
        <v>5</v>
      </c>
      <c r="H31" s="49"/>
      <c r="I31" s="11" t="s">
        <v>6</v>
      </c>
    </row>
    <row r="32" spans="1:9" ht="19.7" customHeight="1" x14ac:dyDescent="0.4">
      <c r="A32" s="8"/>
      <c r="B32" s="8"/>
      <c r="C32" s="8"/>
      <c r="D32" s="17"/>
      <c r="E32" s="8"/>
      <c r="F32" s="12" t="s">
        <v>11</v>
      </c>
      <c r="G32" s="49" t="s">
        <v>5</v>
      </c>
      <c r="H32" s="49"/>
      <c r="I32" s="11" t="s">
        <v>6</v>
      </c>
    </row>
    <row r="33" spans="1:9" ht="19.7" customHeight="1" x14ac:dyDescent="0.4">
      <c r="A33" s="8"/>
      <c r="B33" s="8"/>
      <c r="C33" s="8"/>
      <c r="D33" s="17"/>
      <c r="E33" s="8"/>
      <c r="F33" s="12" t="s">
        <v>11</v>
      </c>
      <c r="G33" s="49" t="s">
        <v>5</v>
      </c>
      <c r="H33" s="49"/>
      <c r="I33" s="11" t="s">
        <v>6</v>
      </c>
    </row>
    <row r="35" spans="1:9" ht="26.25" x14ac:dyDescent="0.4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70C0"/>
  </sheetPr>
  <dimension ref="A1:J42"/>
  <sheetViews>
    <sheetView showGridLines="0" tabSelected="1" view="pageLayout" topLeftCell="A21" zoomScale="90" zoomScaleNormal="100" zoomScalePageLayoutView="90" workbookViewId="0">
      <selection activeCell="F8" sqref="F8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" customWidth="1"/>
    <col min="5" max="5" width="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10" ht="26.25" x14ac:dyDescent="0.4">
      <c r="A1" s="2" t="s">
        <v>0</v>
      </c>
      <c r="B1" s="55" t="s">
        <v>197</v>
      </c>
      <c r="C1" s="55"/>
      <c r="D1" s="55"/>
      <c r="E1" s="55"/>
      <c r="F1" s="55"/>
      <c r="G1" s="3" t="s">
        <v>4</v>
      </c>
      <c r="H1">
        <f>SUM(E6:E40)</f>
        <v>110</v>
      </c>
    </row>
    <row r="2" spans="1:10" ht="26.25" x14ac:dyDescent="0.4">
      <c r="G2" s="3" t="s">
        <v>8</v>
      </c>
      <c r="H2">
        <v>0</v>
      </c>
    </row>
    <row r="3" spans="1:10" ht="22.5" customHeight="1" x14ac:dyDescent="0.35">
      <c r="A3" s="56" t="s">
        <v>1</v>
      </c>
      <c r="B3" s="56"/>
      <c r="C3" s="57"/>
      <c r="D3" s="57"/>
      <c r="E3" s="18" t="s">
        <v>198</v>
      </c>
      <c r="G3" t="s">
        <v>235</v>
      </c>
      <c r="H3" t="s">
        <v>236</v>
      </c>
    </row>
    <row r="4" spans="1:10" x14ac:dyDescent="0.25">
      <c r="J4" s="88"/>
    </row>
    <row r="5" spans="1:10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86" t="s">
        <v>7</v>
      </c>
      <c r="G5" s="50"/>
      <c r="H5" s="50"/>
      <c r="I5" s="87"/>
      <c r="J5" s="89" t="s">
        <v>289</v>
      </c>
    </row>
    <row r="6" spans="1:10" s="3" customFormat="1" ht="20.25" customHeight="1" thickTop="1" x14ac:dyDescent="0.4">
      <c r="A6" s="72" t="s">
        <v>232</v>
      </c>
      <c r="B6" s="72"/>
      <c r="C6" s="72"/>
      <c r="D6" s="73"/>
      <c r="E6" s="48">
        <v>2</v>
      </c>
      <c r="F6" s="85" t="s">
        <v>11</v>
      </c>
      <c r="G6" s="85" t="s">
        <v>5</v>
      </c>
      <c r="H6" s="85" t="s">
        <v>9</v>
      </c>
      <c r="I6" s="85" t="s">
        <v>6</v>
      </c>
      <c r="J6" s="90">
        <v>0.28499999999999998</v>
      </c>
    </row>
    <row r="7" spans="1:10" ht="20.25" customHeight="1" x14ac:dyDescent="0.4">
      <c r="A7" s="70" t="s">
        <v>233</v>
      </c>
      <c r="B7" s="70"/>
      <c r="C7" s="70"/>
      <c r="D7" s="71"/>
      <c r="E7" s="47">
        <v>2</v>
      </c>
      <c r="F7" s="84" t="s">
        <v>11</v>
      </c>
      <c r="G7" s="84" t="s">
        <v>5</v>
      </c>
      <c r="H7" s="84" t="s">
        <v>9</v>
      </c>
      <c r="I7" s="84" t="s">
        <v>6</v>
      </c>
      <c r="J7" s="91">
        <v>0.23499999999999999</v>
      </c>
    </row>
    <row r="8" spans="1:10" ht="20.25" customHeight="1" x14ac:dyDescent="0.4">
      <c r="A8" s="70" t="s">
        <v>199</v>
      </c>
      <c r="B8" s="70"/>
      <c r="C8" s="70"/>
      <c r="D8" s="71"/>
      <c r="E8" s="47">
        <v>1</v>
      </c>
      <c r="F8" s="84" t="s">
        <v>11</v>
      </c>
      <c r="G8" s="84" t="s">
        <v>5</v>
      </c>
      <c r="H8" s="84" t="s">
        <v>9</v>
      </c>
      <c r="I8" s="84" t="s">
        <v>6</v>
      </c>
      <c r="J8" s="91">
        <v>0.55200000000000005</v>
      </c>
    </row>
    <row r="9" spans="1:10" ht="20.25" customHeight="1" x14ac:dyDescent="0.4">
      <c r="A9" s="70" t="s">
        <v>200</v>
      </c>
      <c r="B9" s="70"/>
      <c r="C9" s="70"/>
      <c r="D9" s="71"/>
      <c r="E9" s="47">
        <v>1</v>
      </c>
      <c r="F9" s="84" t="s">
        <v>11</v>
      </c>
      <c r="G9" s="84" t="s">
        <v>5</v>
      </c>
      <c r="H9" s="84" t="s">
        <v>9</v>
      </c>
      <c r="I9" s="84" t="s">
        <v>6</v>
      </c>
      <c r="J9" s="91">
        <v>0.503</v>
      </c>
    </row>
    <row r="10" spans="1:10" ht="20.25" customHeight="1" x14ac:dyDescent="0.4">
      <c r="A10" s="74" t="s">
        <v>201</v>
      </c>
      <c r="B10" s="74"/>
      <c r="C10" s="74"/>
      <c r="D10" s="74"/>
      <c r="E10" s="47">
        <v>1</v>
      </c>
      <c r="F10" s="84" t="s">
        <v>11</v>
      </c>
      <c r="G10" s="84" t="s">
        <v>5</v>
      </c>
      <c r="H10" s="84" t="s">
        <v>9</v>
      </c>
      <c r="I10" s="84" t="s">
        <v>6</v>
      </c>
      <c r="J10" s="91">
        <f>2*0.559+0.157</f>
        <v>1.2750000000000001</v>
      </c>
    </row>
    <row r="11" spans="1:10" ht="20.25" customHeight="1" x14ac:dyDescent="0.4">
      <c r="A11" s="70" t="s">
        <v>202</v>
      </c>
      <c r="B11" s="70"/>
      <c r="C11" s="70"/>
      <c r="D11" s="71"/>
      <c r="E11" s="47">
        <v>1</v>
      </c>
      <c r="F11" s="84" t="s">
        <v>11</v>
      </c>
      <c r="G11" s="84" t="s">
        <v>5</v>
      </c>
      <c r="H11" s="84" t="s">
        <v>9</v>
      </c>
      <c r="I11" s="84" t="s">
        <v>6</v>
      </c>
      <c r="J11" s="91">
        <v>0.38500000000000001</v>
      </c>
    </row>
    <row r="12" spans="1:10" ht="20.25" customHeight="1" x14ac:dyDescent="0.4">
      <c r="A12" s="70" t="s">
        <v>203</v>
      </c>
      <c r="B12" s="70"/>
      <c r="C12" s="70"/>
      <c r="D12" s="71"/>
      <c r="E12" s="47">
        <v>1</v>
      </c>
      <c r="F12" s="84" t="s">
        <v>11</v>
      </c>
      <c r="G12" s="84" t="s">
        <v>5</v>
      </c>
      <c r="H12" s="84" t="s">
        <v>9</v>
      </c>
      <c r="I12" s="84" t="s">
        <v>6</v>
      </c>
      <c r="J12" s="91">
        <v>0.26600000000000001</v>
      </c>
    </row>
    <row r="13" spans="1:10" ht="20.25" customHeight="1" x14ac:dyDescent="0.4">
      <c r="A13" s="70" t="s">
        <v>204</v>
      </c>
      <c r="B13" s="70"/>
      <c r="C13" s="70"/>
      <c r="D13" s="71"/>
      <c r="E13" s="5">
        <v>1</v>
      </c>
      <c r="F13" s="84" t="s">
        <v>11</v>
      </c>
      <c r="G13" s="84" t="s">
        <v>5</v>
      </c>
      <c r="H13" s="84" t="s">
        <v>9</v>
      </c>
      <c r="I13" s="84" t="s">
        <v>6</v>
      </c>
      <c r="J13" s="91">
        <v>0.29899999999999999</v>
      </c>
    </row>
    <row r="14" spans="1:10" ht="20.25" customHeight="1" x14ac:dyDescent="0.4">
      <c r="A14" s="70" t="s">
        <v>205</v>
      </c>
      <c r="B14" s="70"/>
      <c r="C14" s="70"/>
      <c r="D14" s="71"/>
      <c r="E14" s="47">
        <v>1</v>
      </c>
      <c r="F14" s="84" t="s">
        <v>11</v>
      </c>
      <c r="G14" s="84" t="s">
        <v>5</v>
      </c>
      <c r="H14" s="84" t="s">
        <v>9</v>
      </c>
      <c r="I14" s="84" t="s">
        <v>6</v>
      </c>
      <c r="J14" s="91">
        <v>1.5620000000000001</v>
      </c>
    </row>
    <row r="15" spans="1:10" ht="20.25" customHeight="1" x14ac:dyDescent="0.4">
      <c r="A15" s="76" t="s">
        <v>206</v>
      </c>
      <c r="B15" s="76"/>
      <c r="C15" s="76"/>
      <c r="D15" s="77"/>
      <c r="E15" s="5">
        <v>1</v>
      </c>
      <c r="F15" s="84" t="s">
        <v>11</v>
      </c>
      <c r="G15" s="84" t="s">
        <v>5</v>
      </c>
      <c r="H15" s="84" t="s">
        <v>9</v>
      </c>
      <c r="I15" s="84" t="s">
        <v>6</v>
      </c>
      <c r="J15" s="91">
        <v>0.82599999999999996</v>
      </c>
    </row>
    <row r="16" spans="1:10" ht="20.25" customHeight="1" x14ac:dyDescent="0.4">
      <c r="A16" s="76" t="s">
        <v>207</v>
      </c>
      <c r="B16" s="76"/>
      <c r="C16" s="76"/>
      <c r="D16" s="77"/>
      <c r="E16" s="5">
        <v>1</v>
      </c>
      <c r="F16" s="84" t="s">
        <v>11</v>
      </c>
      <c r="G16" s="84" t="s">
        <v>5</v>
      </c>
      <c r="H16" s="84" t="s">
        <v>9</v>
      </c>
      <c r="I16" s="84" t="s">
        <v>6</v>
      </c>
      <c r="J16" s="91">
        <v>0.42</v>
      </c>
    </row>
    <row r="17" spans="1:10" ht="20.25" customHeight="1" x14ac:dyDescent="0.4">
      <c r="A17" s="74" t="s">
        <v>217</v>
      </c>
      <c r="B17" s="74"/>
      <c r="C17" s="74"/>
      <c r="D17" s="75"/>
      <c r="E17" s="5">
        <v>4</v>
      </c>
      <c r="F17" s="84" t="s">
        <v>11</v>
      </c>
      <c r="G17" s="84" t="s">
        <v>5</v>
      </c>
      <c r="H17" s="84" t="s">
        <v>9</v>
      </c>
      <c r="I17" s="84" t="s">
        <v>6</v>
      </c>
      <c r="J17" s="91"/>
    </row>
    <row r="18" spans="1:10" ht="20.25" customHeight="1" x14ac:dyDescent="0.4">
      <c r="A18" s="76" t="s">
        <v>208</v>
      </c>
      <c r="B18" s="76"/>
      <c r="C18" s="76"/>
      <c r="D18" s="77"/>
      <c r="E18" s="5">
        <v>2</v>
      </c>
      <c r="F18" s="84" t="s">
        <v>11</v>
      </c>
      <c r="G18" s="84" t="s">
        <v>5</v>
      </c>
      <c r="H18" s="84" t="s">
        <v>9</v>
      </c>
      <c r="I18" s="84" t="s">
        <v>6</v>
      </c>
      <c r="J18" s="91"/>
    </row>
    <row r="19" spans="1:10" ht="20.25" customHeight="1" x14ac:dyDescent="0.4">
      <c r="A19" s="76" t="s">
        <v>209</v>
      </c>
      <c r="B19" s="76"/>
      <c r="C19" s="76"/>
      <c r="D19" s="77"/>
      <c r="E19" s="5">
        <v>1</v>
      </c>
      <c r="F19" s="84" t="s">
        <v>11</v>
      </c>
      <c r="G19" s="84" t="s">
        <v>5</v>
      </c>
      <c r="H19" s="84" t="s">
        <v>9</v>
      </c>
      <c r="I19" s="84" t="s">
        <v>6</v>
      </c>
      <c r="J19" s="92">
        <v>0.29299999999999998</v>
      </c>
    </row>
    <row r="20" spans="1:10" ht="20.25" customHeight="1" x14ac:dyDescent="0.4">
      <c r="A20" s="76" t="s">
        <v>218</v>
      </c>
      <c r="B20" s="76"/>
      <c r="C20" s="76"/>
      <c r="D20" s="77"/>
      <c r="E20" s="47">
        <v>2</v>
      </c>
      <c r="F20" s="84" t="s">
        <v>11</v>
      </c>
      <c r="G20" s="84" t="s">
        <v>5</v>
      </c>
      <c r="H20" s="84" t="s">
        <v>9</v>
      </c>
      <c r="I20" s="84" t="s">
        <v>6</v>
      </c>
      <c r="J20" s="92"/>
    </row>
    <row r="21" spans="1:10" ht="20.25" customHeight="1" x14ac:dyDescent="0.4">
      <c r="A21" s="76" t="s">
        <v>219</v>
      </c>
      <c r="B21" s="76"/>
      <c r="C21" s="76"/>
      <c r="D21" s="77"/>
      <c r="E21" s="5">
        <v>2</v>
      </c>
      <c r="F21" s="84" t="s">
        <v>11</v>
      </c>
      <c r="G21" s="84" t="s">
        <v>5</v>
      </c>
      <c r="H21" s="84" t="s">
        <v>9</v>
      </c>
      <c r="I21" s="84" t="s">
        <v>6</v>
      </c>
      <c r="J21" s="92"/>
    </row>
    <row r="22" spans="1:10" ht="20.25" customHeight="1" x14ac:dyDescent="0.4">
      <c r="A22" s="76" t="s">
        <v>220</v>
      </c>
      <c r="B22" s="76"/>
      <c r="C22" s="76"/>
      <c r="D22" s="77"/>
      <c r="E22" s="5">
        <v>2</v>
      </c>
      <c r="F22" s="84" t="s">
        <v>11</v>
      </c>
      <c r="G22" s="84" t="s">
        <v>5</v>
      </c>
      <c r="H22" s="84" t="s">
        <v>9</v>
      </c>
      <c r="I22" s="84" t="s">
        <v>6</v>
      </c>
      <c r="J22" s="91"/>
    </row>
    <row r="23" spans="1:10" ht="20.25" customHeight="1" x14ac:dyDescent="0.4">
      <c r="A23" s="76" t="s">
        <v>221</v>
      </c>
      <c r="B23" s="76"/>
      <c r="C23" s="76"/>
      <c r="D23" s="77"/>
      <c r="E23" s="5">
        <v>4</v>
      </c>
      <c r="F23" s="84" t="s">
        <v>11</v>
      </c>
      <c r="G23" s="84" t="s">
        <v>5</v>
      </c>
      <c r="H23" s="84" t="s">
        <v>9</v>
      </c>
      <c r="I23" s="84" t="s">
        <v>6</v>
      </c>
      <c r="J23" s="91"/>
    </row>
    <row r="24" spans="1:10" ht="20.25" customHeight="1" x14ac:dyDescent="0.4">
      <c r="A24" s="76" t="s">
        <v>222</v>
      </c>
      <c r="B24" s="76"/>
      <c r="C24" s="76"/>
      <c r="D24" s="77"/>
      <c r="E24" s="5">
        <v>4</v>
      </c>
      <c r="F24" s="84" t="s">
        <v>11</v>
      </c>
      <c r="G24" s="84" t="s">
        <v>5</v>
      </c>
      <c r="H24" s="84" t="s">
        <v>9</v>
      </c>
      <c r="I24" s="84" t="s">
        <v>6</v>
      </c>
      <c r="J24" s="91"/>
    </row>
    <row r="25" spans="1:10" ht="20.25" customHeight="1" x14ac:dyDescent="0.25"/>
    <row r="26" spans="1:10" ht="20.25" customHeight="1" thickBot="1" x14ac:dyDescent="0.45">
      <c r="A26" s="50" t="s">
        <v>3</v>
      </c>
      <c r="B26" s="51"/>
      <c r="C26" s="50"/>
      <c r="D26" s="51"/>
      <c r="E26" s="10" t="s">
        <v>10</v>
      </c>
      <c r="F26" s="52" t="s">
        <v>7</v>
      </c>
      <c r="G26" s="53"/>
      <c r="H26" s="53"/>
      <c r="I26" s="3"/>
    </row>
    <row r="27" spans="1:10" ht="20.25" customHeight="1" thickTop="1" x14ac:dyDescent="0.4">
      <c r="A27" s="78" t="s">
        <v>225</v>
      </c>
      <c r="B27" s="78"/>
      <c r="C27" s="78"/>
      <c r="D27" s="79"/>
      <c r="E27" s="46">
        <v>6</v>
      </c>
      <c r="F27" s="13" t="s">
        <v>11</v>
      </c>
      <c r="G27" s="54" t="s">
        <v>5</v>
      </c>
      <c r="H27" s="54"/>
      <c r="I27" s="14" t="s">
        <v>6</v>
      </c>
    </row>
    <row r="28" spans="1:10" ht="20.25" customHeight="1" x14ac:dyDescent="0.4">
      <c r="A28" s="66" t="s">
        <v>223</v>
      </c>
      <c r="B28" s="66"/>
      <c r="C28" s="66"/>
      <c r="D28" s="67"/>
      <c r="E28" s="46">
        <v>6</v>
      </c>
      <c r="F28" s="12" t="s">
        <v>11</v>
      </c>
      <c r="G28" s="49" t="s">
        <v>5</v>
      </c>
      <c r="H28" s="49"/>
      <c r="I28" s="11" t="s">
        <v>6</v>
      </c>
    </row>
    <row r="29" spans="1:10" ht="20.25" customHeight="1" x14ac:dyDescent="0.4">
      <c r="A29" s="66" t="s">
        <v>224</v>
      </c>
      <c r="B29" s="66"/>
      <c r="C29" s="66"/>
      <c r="D29" s="67"/>
      <c r="E29" s="46">
        <v>12</v>
      </c>
      <c r="F29" s="12" t="s">
        <v>11</v>
      </c>
      <c r="G29" s="49" t="s">
        <v>5</v>
      </c>
      <c r="H29" s="49"/>
      <c r="I29" s="11" t="s">
        <v>6</v>
      </c>
    </row>
    <row r="30" spans="1:10" ht="20.25" customHeight="1" x14ac:dyDescent="0.4">
      <c r="A30" s="66" t="s">
        <v>288</v>
      </c>
      <c r="B30" s="66"/>
      <c r="C30" s="66"/>
      <c r="D30" s="67"/>
      <c r="E30" s="46"/>
      <c r="F30" s="12" t="s">
        <v>11</v>
      </c>
      <c r="G30" s="49" t="s">
        <v>5</v>
      </c>
      <c r="H30" s="49"/>
      <c r="I30" s="11" t="s">
        <v>6</v>
      </c>
    </row>
    <row r="31" spans="1:10" ht="20.25" customHeight="1" x14ac:dyDescent="0.4">
      <c r="A31" s="66" t="s">
        <v>226</v>
      </c>
      <c r="B31" s="66"/>
      <c r="C31" s="66"/>
      <c r="D31" s="67"/>
      <c r="E31" s="46">
        <v>2</v>
      </c>
      <c r="F31" s="12" t="s">
        <v>11</v>
      </c>
      <c r="G31" s="49" t="s">
        <v>5</v>
      </c>
      <c r="H31" s="49"/>
      <c r="I31" s="11" t="s">
        <v>6</v>
      </c>
    </row>
    <row r="32" spans="1:10" ht="20.25" customHeight="1" x14ac:dyDescent="0.4">
      <c r="A32" s="66" t="s">
        <v>228</v>
      </c>
      <c r="B32" s="66"/>
      <c r="C32" s="66"/>
      <c r="D32" s="67"/>
      <c r="E32" s="46">
        <v>6</v>
      </c>
      <c r="F32" s="12" t="s">
        <v>11</v>
      </c>
      <c r="G32" s="49" t="s">
        <v>5</v>
      </c>
      <c r="H32" s="49"/>
      <c r="I32" s="11" t="s">
        <v>6</v>
      </c>
    </row>
    <row r="33" spans="1:9" ht="20.25" customHeight="1" x14ac:dyDescent="0.4">
      <c r="A33" s="66" t="s">
        <v>227</v>
      </c>
      <c r="B33" s="66"/>
      <c r="C33" s="66"/>
      <c r="D33" s="67"/>
      <c r="E33" s="46">
        <v>14</v>
      </c>
      <c r="F33" s="12" t="s">
        <v>11</v>
      </c>
      <c r="G33" s="49" t="s">
        <v>5</v>
      </c>
      <c r="H33" s="49"/>
      <c r="I33" s="11" t="s">
        <v>6</v>
      </c>
    </row>
    <row r="34" spans="1:9" ht="20.25" customHeight="1" x14ac:dyDescent="0.4">
      <c r="A34" s="66" t="s">
        <v>229</v>
      </c>
      <c r="B34" s="81"/>
      <c r="C34" s="81"/>
      <c r="D34" s="82"/>
      <c r="E34" s="46">
        <v>6</v>
      </c>
      <c r="F34" s="12" t="s">
        <v>11</v>
      </c>
      <c r="G34" s="49" t="s">
        <v>5</v>
      </c>
      <c r="H34" s="49"/>
      <c r="I34" s="11" t="s">
        <v>6</v>
      </c>
    </row>
    <row r="35" spans="1:9" ht="20.25" customHeight="1" x14ac:dyDescent="0.4">
      <c r="A35" s="80" t="s">
        <v>285</v>
      </c>
      <c r="B35" s="81"/>
      <c r="C35" s="81"/>
      <c r="D35" s="82"/>
      <c r="E35" s="46">
        <v>4</v>
      </c>
      <c r="F35" s="12" t="s">
        <v>11</v>
      </c>
      <c r="G35" s="49" t="s">
        <v>5</v>
      </c>
      <c r="H35" s="49"/>
      <c r="I35" s="11" t="s">
        <v>6</v>
      </c>
    </row>
    <row r="36" spans="1:9" ht="20.25" customHeight="1" x14ac:dyDescent="0.4">
      <c r="A36" s="80" t="s">
        <v>230</v>
      </c>
      <c r="B36" s="81"/>
      <c r="C36" s="81"/>
      <c r="D36" s="82"/>
      <c r="E36" s="46">
        <v>4</v>
      </c>
      <c r="F36" s="12" t="s">
        <v>11</v>
      </c>
      <c r="G36" s="49" t="s">
        <v>5</v>
      </c>
      <c r="H36" s="49"/>
      <c r="I36" s="11" t="s">
        <v>6</v>
      </c>
    </row>
    <row r="37" spans="1:9" ht="20.25" customHeight="1" x14ac:dyDescent="0.4">
      <c r="A37" s="80" t="s">
        <v>130</v>
      </c>
      <c r="B37" s="81"/>
      <c r="C37" s="81"/>
      <c r="D37" s="82"/>
      <c r="E37" s="46">
        <v>8</v>
      </c>
      <c r="F37" s="12" t="s">
        <v>11</v>
      </c>
      <c r="G37" s="49" t="s">
        <v>5</v>
      </c>
      <c r="H37" s="49"/>
      <c r="I37" s="11" t="s">
        <v>6</v>
      </c>
    </row>
    <row r="38" spans="1:9" ht="20.25" customHeight="1" x14ac:dyDescent="0.4">
      <c r="A38" s="80" t="s">
        <v>286</v>
      </c>
      <c r="B38" s="81"/>
      <c r="C38" s="81"/>
      <c r="D38" s="82"/>
      <c r="E38" s="46">
        <v>2</v>
      </c>
      <c r="F38" s="12" t="s">
        <v>11</v>
      </c>
      <c r="G38" s="49" t="s">
        <v>5</v>
      </c>
      <c r="H38" s="49"/>
      <c r="I38" s="11" t="s">
        <v>6</v>
      </c>
    </row>
    <row r="39" spans="1:9" ht="20.25" customHeight="1" x14ac:dyDescent="0.4">
      <c r="A39" s="80" t="s">
        <v>181</v>
      </c>
      <c r="B39" s="81"/>
      <c r="C39" s="81"/>
      <c r="D39" s="82"/>
      <c r="E39" s="46">
        <v>4</v>
      </c>
      <c r="F39" s="12" t="s">
        <v>11</v>
      </c>
      <c r="G39" s="49" t="s">
        <v>5</v>
      </c>
      <c r="H39" s="49"/>
      <c r="I39" s="11" t="s">
        <v>6</v>
      </c>
    </row>
    <row r="40" spans="1:9" ht="20.25" customHeight="1" x14ac:dyDescent="0.4">
      <c r="A40" s="80" t="s">
        <v>231</v>
      </c>
      <c r="B40" s="81"/>
      <c r="C40" s="81"/>
      <c r="D40" s="82"/>
      <c r="E40" s="46">
        <v>2</v>
      </c>
      <c r="F40" s="12" t="s">
        <v>11</v>
      </c>
      <c r="G40" s="49" t="s">
        <v>5</v>
      </c>
      <c r="H40" s="49"/>
      <c r="I40" s="11" t="s">
        <v>6</v>
      </c>
    </row>
    <row r="41" spans="1:9" ht="20.25" customHeight="1" x14ac:dyDescent="0.4">
      <c r="A41" s="33"/>
      <c r="B41" s="34"/>
      <c r="C41" s="34"/>
      <c r="D41" s="34"/>
      <c r="F41" s="11"/>
      <c r="G41" s="11"/>
      <c r="H41" s="11"/>
      <c r="I41" s="11"/>
    </row>
    <row r="42" spans="1:9" ht="26.25" x14ac:dyDescent="0.4">
      <c r="A42" t="s">
        <v>12</v>
      </c>
      <c r="B42" s="11" t="s">
        <v>13</v>
      </c>
      <c r="D42" s="11" t="s">
        <v>15</v>
      </c>
      <c r="F42" s="11" t="s">
        <v>14</v>
      </c>
      <c r="G42" s="11" t="s">
        <v>16</v>
      </c>
    </row>
  </sheetData>
  <mergeCells count="54">
    <mergeCell ref="J19:J21"/>
    <mergeCell ref="B1:F1"/>
    <mergeCell ref="A37:D37"/>
    <mergeCell ref="G37:H37"/>
    <mergeCell ref="A40:D40"/>
    <mergeCell ref="G40:H40"/>
    <mergeCell ref="A38:D38"/>
    <mergeCell ref="G38:H38"/>
    <mergeCell ref="A39:D39"/>
    <mergeCell ref="G39:H39"/>
    <mergeCell ref="A15:D15"/>
    <mergeCell ref="A16:D16"/>
    <mergeCell ref="A33:D33"/>
    <mergeCell ref="G33:H33"/>
    <mergeCell ref="A34:D34"/>
    <mergeCell ref="G34:H34"/>
    <mergeCell ref="A29:D29"/>
    <mergeCell ref="G29:H29"/>
    <mergeCell ref="A31:D31"/>
    <mergeCell ref="G31:H31"/>
    <mergeCell ref="A32:D32"/>
    <mergeCell ref="G32:H32"/>
    <mergeCell ref="A23:D23"/>
    <mergeCell ref="A28:D28"/>
    <mergeCell ref="G28:H28"/>
    <mergeCell ref="A36:D36"/>
    <mergeCell ref="G36:H36"/>
    <mergeCell ref="A35:D35"/>
    <mergeCell ref="G35:H35"/>
    <mergeCell ref="A3:D3"/>
    <mergeCell ref="A5:D5"/>
    <mergeCell ref="A8:D8"/>
    <mergeCell ref="A9:D9"/>
    <mergeCell ref="F5:H5"/>
    <mergeCell ref="A6:D6"/>
    <mergeCell ref="A7:D7"/>
    <mergeCell ref="A11:D11"/>
    <mergeCell ref="A10:D10"/>
    <mergeCell ref="A30:D30"/>
    <mergeCell ref="G30:H30"/>
    <mergeCell ref="A12:D12"/>
    <mergeCell ref="A13:D13"/>
    <mergeCell ref="A14:D14"/>
    <mergeCell ref="A17:D17"/>
    <mergeCell ref="A18:D18"/>
    <mergeCell ref="A26:D26"/>
    <mergeCell ref="F26:H26"/>
    <mergeCell ref="A27:D27"/>
    <mergeCell ref="G27:H27"/>
    <mergeCell ref="A24:D24"/>
    <mergeCell ref="A19:D19"/>
    <mergeCell ref="A20:D20"/>
    <mergeCell ref="A21:D21"/>
    <mergeCell ref="A22:D2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</sheetPr>
  <dimension ref="A1:I33"/>
  <sheetViews>
    <sheetView showGridLines="0" view="pageLayout" zoomScaleNormal="100" workbookViewId="0">
      <selection activeCell="G3" sqref="G3: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108</v>
      </c>
      <c r="B1" s="83" t="s">
        <v>109</v>
      </c>
      <c r="C1" s="83"/>
      <c r="D1" s="83"/>
      <c r="E1" s="83"/>
      <c r="F1" s="1"/>
      <c r="G1" s="3" t="s">
        <v>4</v>
      </c>
      <c r="H1">
        <f>SUM(E6:E30)</f>
        <v>52</v>
      </c>
    </row>
    <row r="2" spans="1:9" ht="26.25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t="s">
        <v>110</v>
      </c>
      <c r="G3" t="s">
        <v>235</v>
      </c>
      <c r="H3" t="s">
        <v>236</v>
      </c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19.7" customHeight="1" thickTop="1" x14ac:dyDescent="0.4">
      <c r="A6" s="22" t="s">
        <v>111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" customHeight="1" x14ac:dyDescent="0.4">
      <c r="A7" s="35" t="s">
        <v>112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" customHeight="1" x14ac:dyDescent="0.4">
      <c r="A8" s="35" t="s">
        <v>113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" customHeight="1" x14ac:dyDescent="0.4">
      <c r="A9" s="35" t="s">
        <v>114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" customHeight="1" x14ac:dyDescent="0.4">
      <c r="A10" s="35" t="s">
        <v>115</v>
      </c>
      <c r="B10" s="35"/>
      <c r="C10" s="35"/>
      <c r="D10" s="35"/>
      <c r="E10" s="41">
        <v>3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" customHeight="1" x14ac:dyDescent="0.4">
      <c r="A11" s="35" t="s">
        <v>116</v>
      </c>
      <c r="B11" s="35"/>
      <c r="C11" s="35"/>
      <c r="D11" s="35"/>
      <c r="E11" s="41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" customHeight="1" x14ac:dyDescent="0.4">
      <c r="A12" s="35" t="s">
        <v>117</v>
      </c>
      <c r="B12" s="35"/>
      <c r="C12" s="35"/>
      <c r="D12" s="35"/>
      <c r="E12" s="41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" customHeight="1" x14ac:dyDescent="0.4">
      <c r="A13" s="35" t="s">
        <v>118</v>
      </c>
      <c r="B13" s="35"/>
      <c r="C13" s="35"/>
      <c r="D13" s="35"/>
      <c r="E13" s="41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" customHeight="1" x14ac:dyDescent="0.4">
      <c r="A14" s="35" t="s">
        <v>119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" customHeight="1" x14ac:dyDescent="0.4">
      <c r="A15" s="35" t="s">
        <v>120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" customHeight="1" x14ac:dyDescent="0.4">
      <c r="A16" s="35" t="s">
        <v>121</v>
      </c>
      <c r="B16" s="35"/>
      <c r="C16" s="35"/>
      <c r="D16" s="35"/>
      <c r="E16" s="41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" customHeight="1" x14ac:dyDescent="0.4">
      <c r="A17" s="35" t="s">
        <v>122</v>
      </c>
      <c r="B17" s="35"/>
      <c r="C17" s="35"/>
      <c r="D17" s="35"/>
      <c r="E17" s="41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" customHeight="1" x14ac:dyDescent="0.4">
      <c r="A18" s="35" t="s">
        <v>123</v>
      </c>
      <c r="B18" s="35"/>
      <c r="C18" s="35"/>
      <c r="D18" s="35"/>
      <c r="E18" s="41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" customHeight="1" x14ac:dyDescent="0.4">
      <c r="A19" s="35" t="s">
        <v>124</v>
      </c>
      <c r="B19" s="35"/>
      <c r="C19" s="35"/>
      <c r="D19" s="35"/>
      <c r="E19" s="41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" customHeight="1" x14ac:dyDescent="0.4">
      <c r="A20" s="35" t="s">
        <v>125</v>
      </c>
      <c r="B20" s="35"/>
      <c r="C20" s="35"/>
      <c r="D20" s="35"/>
      <c r="E20" s="41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" customHeight="1" x14ac:dyDescent="0.4">
      <c r="A21" s="35" t="s">
        <v>126</v>
      </c>
      <c r="B21" s="35"/>
      <c r="C21" s="35"/>
      <c r="D21" s="35"/>
      <c r="E21" s="41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" customHeight="1" x14ac:dyDescent="0.4">
      <c r="A22" s="35" t="s">
        <v>127</v>
      </c>
      <c r="B22" s="35"/>
      <c r="C22" s="35"/>
      <c r="D22" s="35"/>
      <c r="E22" s="41">
        <v>3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" customHeight="1" x14ac:dyDescent="0.4">
      <c r="A23" s="35" t="s">
        <v>128</v>
      </c>
      <c r="B23" s="35"/>
      <c r="C23" s="35"/>
      <c r="D23" s="35"/>
      <c r="E23" s="41">
        <v>1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" customHeight="1" x14ac:dyDescent="0.25"/>
    <row r="25" spans="1:9" ht="19.7" customHeight="1" thickBot="1" x14ac:dyDescent="0.45">
      <c r="A25" s="50" t="s">
        <v>3</v>
      </c>
      <c r="B25" s="51"/>
      <c r="C25" s="50"/>
      <c r="D25" s="51"/>
      <c r="E25" s="10" t="s">
        <v>10</v>
      </c>
      <c r="F25" s="52" t="s">
        <v>7</v>
      </c>
      <c r="G25" s="53"/>
      <c r="H25" s="53"/>
      <c r="I25" s="3"/>
    </row>
    <row r="26" spans="1:9" ht="19.7" customHeight="1" thickTop="1" x14ac:dyDescent="0.4">
      <c r="A26" s="22" t="s">
        <v>129</v>
      </c>
      <c r="B26" s="22"/>
      <c r="C26" s="22"/>
      <c r="D26" s="36"/>
      <c r="E26" s="23">
        <v>4</v>
      </c>
      <c r="F26" s="13" t="s">
        <v>11</v>
      </c>
      <c r="G26" s="54" t="s">
        <v>5</v>
      </c>
      <c r="H26" s="54"/>
      <c r="I26" s="14" t="s">
        <v>6</v>
      </c>
    </row>
    <row r="27" spans="1:9" ht="19.7" customHeight="1" x14ac:dyDescent="0.4">
      <c r="A27" s="23" t="s">
        <v>130</v>
      </c>
      <c r="B27" s="23"/>
      <c r="C27" s="23"/>
      <c r="D27" s="37"/>
      <c r="E27" s="23">
        <v>12</v>
      </c>
      <c r="F27" s="12" t="s">
        <v>11</v>
      </c>
      <c r="G27" s="49" t="s">
        <v>5</v>
      </c>
      <c r="H27" s="49"/>
      <c r="I27" s="11" t="s">
        <v>6</v>
      </c>
    </row>
    <row r="28" spans="1:9" ht="19.7" customHeight="1" x14ac:dyDescent="0.4">
      <c r="A28" s="23" t="s">
        <v>131</v>
      </c>
      <c r="B28" s="23"/>
      <c r="C28" s="23"/>
      <c r="D28" s="37"/>
      <c r="E28" s="23">
        <v>9</v>
      </c>
      <c r="F28" s="12" t="s">
        <v>11</v>
      </c>
      <c r="G28" s="49" t="s">
        <v>5</v>
      </c>
      <c r="H28" s="49"/>
      <c r="I28" s="11" t="s">
        <v>6</v>
      </c>
    </row>
    <row r="29" spans="1:9" ht="19.7" customHeight="1" x14ac:dyDescent="0.4">
      <c r="A29" s="23" t="s">
        <v>132</v>
      </c>
      <c r="B29" s="23"/>
      <c r="C29" s="23"/>
      <c r="D29" s="37"/>
      <c r="E29" s="23">
        <v>2</v>
      </c>
      <c r="F29" s="12" t="s">
        <v>11</v>
      </c>
      <c r="G29" s="49" t="s">
        <v>5</v>
      </c>
      <c r="H29" s="49"/>
      <c r="I29" s="11" t="s">
        <v>6</v>
      </c>
    </row>
    <row r="30" spans="1:9" ht="19.7" customHeight="1" x14ac:dyDescent="0.4">
      <c r="A30" s="23" t="s">
        <v>133</v>
      </c>
      <c r="B30" s="23"/>
      <c r="C30" s="23"/>
      <c r="D30" s="37"/>
      <c r="E30" s="23">
        <v>2</v>
      </c>
      <c r="F30" s="12" t="s">
        <v>11</v>
      </c>
      <c r="G30" s="49" t="s">
        <v>5</v>
      </c>
      <c r="H30" s="49"/>
      <c r="I30" s="11" t="s">
        <v>6</v>
      </c>
    </row>
    <row r="31" spans="1:9" ht="19.7" customHeight="1" x14ac:dyDescent="0.4">
      <c r="A31" s="23"/>
      <c r="B31" s="8"/>
      <c r="C31" s="8"/>
      <c r="D31" s="17"/>
      <c r="E31" s="8"/>
      <c r="F31" s="12" t="s">
        <v>11</v>
      </c>
      <c r="G31" s="49" t="s">
        <v>5</v>
      </c>
      <c r="H31" s="49"/>
      <c r="I31" s="11" t="s">
        <v>6</v>
      </c>
    </row>
    <row r="33" spans="1:7" ht="26.25" x14ac:dyDescent="0.4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I36"/>
  <sheetViews>
    <sheetView showGridLines="0" view="pageLayout" topLeftCell="A10" zoomScaleNormal="100" workbookViewId="0">
      <selection activeCell="G3" sqref="G3:H3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0.45" customHeight="1" x14ac:dyDescent="0.4">
      <c r="A1" s="2" t="s">
        <v>0</v>
      </c>
      <c r="B1" s="55" t="s">
        <v>142</v>
      </c>
      <c r="C1" s="55"/>
      <c r="D1" s="55"/>
      <c r="E1" s="55"/>
      <c r="F1" s="1"/>
      <c r="G1" s="3" t="s">
        <v>4</v>
      </c>
      <c r="H1">
        <f>SUM(E6:E34)</f>
        <v>128</v>
      </c>
    </row>
    <row r="2" spans="1:9" ht="21.75" customHeight="1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s="18" t="s">
        <v>143</v>
      </c>
      <c r="G3" t="s">
        <v>235</v>
      </c>
      <c r="H3" t="s">
        <v>236</v>
      </c>
    </row>
    <row r="5" spans="1:9" s="3" customFormat="1" ht="13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25" customHeight="1" thickTop="1" x14ac:dyDescent="0.4">
      <c r="A6" s="4" t="s">
        <v>169</v>
      </c>
      <c r="B6" s="15"/>
      <c r="C6" s="15"/>
      <c r="D6" s="15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4">
      <c r="A7" s="4" t="s">
        <v>170</v>
      </c>
      <c r="B7" s="4"/>
      <c r="C7" s="4"/>
      <c r="D7" s="4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4">
      <c r="A8" s="4" t="s">
        <v>171</v>
      </c>
      <c r="B8" s="4"/>
      <c r="C8" s="4"/>
      <c r="D8" s="4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4">
      <c r="A9" s="4" t="s">
        <v>172</v>
      </c>
      <c r="B9" s="4"/>
      <c r="C9" s="4"/>
      <c r="D9" s="4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4">
      <c r="A10" s="4" t="s">
        <v>176</v>
      </c>
      <c r="B10" s="4"/>
      <c r="C10" s="4"/>
      <c r="D10" s="4"/>
      <c r="E10" s="5">
        <v>1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4">
      <c r="A11" s="4" t="s">
        <v>177</v>
      </c>
      <c r="B11" s="4"/>
      <c r="C11" s="4"/>
      <c r="D11" s="4"/>
      <c r="E11" s="5">
        <v>2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4">
      <c r="A12" s="4" t="s">
        <v>178</v>
      </c>
      <c r="B12" s="4"/>
      <c r="C12" s="4"/>
      <c r="D12" s="4"/>
      <c r="E12" s="5">
        <v>2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4">
      <c r="A13" s="4" t="s">
        <v>179</v>
      </c>
      <c r="B13" s="4"/>
      <c r="C13" s="4"/>
      <c r="D13" s="4"/>
      <c r="E13" s="5">
        <v>2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4">
      <c r="A14" s="4" t="s">
        <v>182</v>
      </c>
      <c r="B14" s="4"/>
      <c r="C14" s="4"/>
      <c r="D14" s="4"/>
      <c r="E14" s="5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4">
      <c r="A15" s="4" t="s">
        <v>183</v>
      </c>
      <c r="B15" s="4"/>
      <c r="C15" s="4"/>
      <c r="D15" s="4"/>
      <c r="E15" s="5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4">
      <c r="A16" s="4" t="s">
        <v>184</v>
      </c>
      <c r="B16" s="4"/>
      <c r="C16" s="4"/>
      <c r="D16" s="4"/>
      <c r="E16" s="5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4">
      <c r="A17" s="4" t="s">
        <v>185</v>
      </c>
      <c r="B17" s="4"/>
      <c r="C17" s="4"/>
      <c r="D17" s="4"/>
      <c r="E17" s="5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4">
      <c r="A18" s="4" t="s">
        <v>186</v>
      </c>
      <c r="B18" s="4"/>
      <c r="C18" s="4"/>
      <c r="D18" s="4"/>
      <c r="E18" s="5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4">
      <c r="A19" s="4" t="s">
        <v>187</v>
      </c>
      <c r="B19" s="4"/>
      <c r="C19" s="4"/>
      <c r="D19" s="4"/>
      <c r="E19" s="5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4">
      <c r="A20" s="4" t="s">
        <v>188</v>
      </c>
      <c r="B20" s="4"/>
      <c r="C20" s="4"/>
      <c r="D20" s="4"/>
      <c r="E20" s="5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4">
      <c r="A21" s="4" t="s">
        <v>189</v>
      </c>
      <c r="B21" s="4"/>
      <c r="C21" s="4"/>
      <c r="D21" s="4"/>
      <c r="E21" s="5">
        <v>1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4">
      <c r="A22" t="s">
        <v>190</v>
      </c>
      <c r="B22" s="4"/>
      <c r="C22" s="4"/>
      <c r="D22" s="4"/>
      <c r="E22" s="5">
        <v>1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25"/>
    <row r="24" spans="1:9" ht="20.25" customHeight="1" thickBot="1" x14ac:dyDescent="0.45">
      <c r="A24" s="50" t="s">
        <v>3</v>
      </c>
      <c r="B24" s="51"/>
      <c r="C24" s="50"/>
      <c r="D24" s="51"/>
      <c r="E24" s="10" t="s">
        <v>10</v>
      </c>
      <c r="F24" s="52" t="s">
        <v>7</v>
      </c>
      <c r="G24" s="53"/>
      <c r="H24" s="53"/>
      <c r="I24" s="3"/>
    </row>
    <row r="25" spans="1:9" ht="20.25" customHeight="1" thickTop="1" x14ac:dyDescent="0.4">
      <c r="A25" s="58" t="s">
        <v>173</v>
      </c>
      <c r="B25" s="58"/>
      <c r="C25" s="58"/>
      <c r="D25" s="59"/>
      <c r="E25" s="5">
        <v>10</v>
      </c>
      <c r="F25" s="13" t="s">
        <v>11</v>
      </c>
      <c r="G25" s="54" t="s">
        <v>5</v>
      </c>
      <c r="H25" s="54"/>
      <c r="I25" s="14" t="s">
        <v>6</v>
      </c>
    </row>
    <row r="26" spans="1:9" ht="20.25" customHeight="1" x14ac:dyDescent="0.4">
      <c r="A26" s="60" t="s">
        <v>174</v>
      </c>
      <c r="B26" s="60"/>
      <c r="C26" s="60"/>
      <c r="D26" s="61"/>
      <c r="E26" s="5">
        <v>10</v>
      </c>
      <c r="F26" s="12" t="s">
        <v>11</v>
      </c>
      <c r="G26" s="49" t="s">
        <v>5</v>
      </c>
      <c r="H26" s="49"/>
      <c r="I26" s="11" t="s">
        <v>6</v>
      </c>
    </row>
    <row r="27" spans="1:9" ht="20.25" customHeight="1" x14ac:dyDescent="0.4">
      <c r="A27" s="60" t="s">
        <v>175</v>
      </c>
      <c r="B27" s="60"/>
      <c r="C27" s="60"/>
      <c r="D27" s="61"/>
      <c r="E27" s="5">
        <v>20</v>
      </c>
      <c r="F27" s="12" t="s">
        <v>11</v>
      </c>
      <c r="G27" s="49" t="s">
        <v>5</v>
      </c>
      <c r="H27" s="49"/>
      <c r="I27" s="11" t="s">
        <v>6</v>
      </c>
    </row>
    <row r="28" spans="1:9" ht="20.25" customHeight="1" x14ac:dyDescent="0.4">
      <c r="A28" s="60" t="s">
        <v>130</v>
      </c>
      <c r="B28" s="60"/>
      <c r="C28" s="60"/>
      <c r="D28" s="61"/>
      <c r="E28" s="5">
        <v>20</v>
      </c>
      <c r="F28" s="12" t="s">
        <v>11</v>
      </c>
      <c r="G28" s="49" t="s">
        <v>5</v>
      </c>
      <c r="H28" s="49"/>
      <c r="I28" s="11" t="s">
        <v>6</v>
      </c>
    </row>
    <row r="29" spans="1:9" ht="20.25" customHeight="1" x14ac:dyDescent="0.4">
      <c r="A29" s="60" t="s">
        <v>180</v>
      </c>
      <c r="B29" s="60"/>
      <c r="C29" s="60"/>
      <c r="D29" s="61"/>
      <c r="E29" s="5">
        <v>6</v>
      </c>
      <c r="F29" s="12" t="s">
        <v>11</v>
      </c>
      <c r="G29" s="49" t="s">
        <v>5</v>
      </c>
      <c r="H29" s="49"/>
      <c r="I29" s="11" t="s">
        <v>6</v>
      </c>
    </row>
    <row r="30" spans="1:9" ht="20.25" customHeight="1" x14ac:dyDescent="0.4">
      <c r="A30" s="60" t="s">
        <v>181</v>
      </c>
      <c r="B30" s="60"/>
      <c r="C30" s="60"/>
      <c r="D30" s="61"/>
      <c r="E30" s="5">
        <v>12</v>
      </c>
      <c r="F30" s="12" t="s">
        <v>11</v>
      </c>
      <c r="G30" s="49" t="s">
        <v>5</v>
      </c>
      <c r="H30" s="49"/>
      <c r="I30" s="11" t="s">
        <v>6</v>
      </c>
    </row>
    <row r="31" spans="1:9" ht="20.25" customHeight="1" x14ac:dyDescent="0.4">
      <c r="A31" s="60" t="s">
        <v>234</v>
      </c>
      <c r="B31" s="60"/>
      <c r="C31" s="60"/>
      <c r="D31" s="61"/>
      <c r="E31" s="5">
        <v>9</v>
      </c>
      <c r="F31" s="12" t="s">
        <v>11</v>
      </c>
      <c r="G31" s="49" t="s">
        <v>5</v>
      </c>
      <c r="H31" s="49"/>
      <c r="I31" s="11" t="s">
        <v>6</v>
      </c>
    </row>
    <row r="32" spans="1:9" ht="20.25" customHeight="1" x14ac:dyDescent="0.4">
      <c r="A32" s="60" t="s">
        <v>175</v>
      </c>
      <c r="B32" s="60"/>
      <c r="C32" s="60"/>
      <c r="D32" s="61"/>
      <c r="E32" s="5">
        <v>18</v>
      </c>
      <c r="F32" s="12" t="s">
        <v>11</v>
      </c>
      <c r="G32" s="49" t="s">
        <v>5</v>
      </c>
      <c r="H32" s="49"/>
      <c r="I32" s="11" t="s">
        <v>6</v>
      </c>
    </row>
    <row r="33" spans="1:9" ht="20.25" customHeight="1" x14ac:dyDescent="0.4">
      <c r="A33" s="60" t="s">
        <v>191</v>
      </c>
      <c r="B33" s="60"/>
      <c r="C33" s="60"/>
      <c r="D33" s="61"/>
      <c r="E33" s="5">
        <v>2</v>
      </c>
      <c r="F33" s="12" t="s">
        <v>11</v>
      </c>
      <c r="G33" s="49" t="s">
        <v>5</v>
      </c>
      <c r="H33" s="49"/>
      <c r="I33" s="11" t="s">
        <v>6</v>
      </c>
    </row>
    <row r="34" spans="1:9" ht="20.25" customHeight="1" x14ac:dyDescent="0.4">
      <c r="A34" s="60" t="s">
        <v>195</v>
      </c>
      <c r="B34" s="60"/>
      <c r="C34" s="60"/>
      <c r="D34" s="61"/>
      <c r="E34" s="5">
        <v>1</v>
      </c>
      <c r="F34" s="12" t="s">
        <v>11</v>
      </c>
      <c r="G34" s="49" t="s">
        <v>5</v>
      </c>
      <c r="H34" s="49"/>
      <c r="I34" s="11" t="s">
        <v>6</v>
      </c>
    </row>
    <row r="35" spans="1:9" ht="10.5" customHeight="1" x14ac:dyDescent="0.25"/>
    <row r="36" spans="1:9" ht="26.25" x14ac:dyDescent="0.4">
      <c r="A36" t="s">
        <v>12</v>
      </c>
      <c r="B36" s="11" t="s">
        <v>13</v>
      </c>
      <c r="D36" s="11" t="s">
        <v>15</v>
      </c>
      <c r="F36" s="11" t="s">
        <v>14</v>
      </c>
      <c r="G36" s="11" t="s">
        <v>16</v>
      </c>
    </row>
  </sheetData>
  <mergeCells count="26">
    <mergeCell ref="G33:H33"/>
    <mergeCell ref="G34:H34"/>
    <mergeCell ref="B1:E1"/>
    <mergeCell ref="A3:D3"/>
    <mergeCell ref="A5:D5"/>
    <mergeCell ref="F5:H5"/>
    <mergeCell ref="A24:D24"/>
    <mergeCell ref="F24:H24"/>
    <mergeCell ref="G30:H30"/>
    <mergeCell ref="G31:H31"/>
    <mergeCell ref="G32:H32"/>
    <mergeCell ref="G25:H25"/>
    <mergeCell ref="G26:H26"/>
    <mergeCell ref="G27:H27"/>
    <mergeCell ref="G28:H28"/>
    <mergeCell ref="G29:H29"/>
    <mergeCell ref="A25:D25"/>
    <mergeCell ref="A26:D26"/>
    <mergeCell ref="A27:D27"/>
    <mergeCell ref="A28:D28"/>
    <mergeCell ref="A29:D29"/>
    <mergeCell ref="A30:D30"/>
    <mergeCell ref="A31:D31"/>
    <mergeCell ref="A32:D32"/>
    <mergeCell ref="A33:D33"/>
    <mergeCell ref="A34:D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</sheetPr>
  <dimension ref="A1:I34"/>
  <sheetViews>
    <sheetView showGridLines="0" view="pageLayout" topLeftCell="A3" zoomScaleNormal="100" workbookViewId="0">
      <selection activeCell="I5" sqref="I5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55" t="s">
        <v>144</v>
      </c>
      <c r="C1" s="55"/>
      <c r="D1" s="55"/>
      <c r="E1" s="55"/>
      <c r="F1" s="1"/>
      <c r="G1" s="3" t="s">
        <v>4</v>
      </c>
      <c r="H1">
        <f>SUM(E6:E24)</f>
        <v>4</v>
      </c>
    </row>
    <row r="2" spans="1:9" ht="26.25" x14ac:dyDescent="0.4">
      <c r="G2" s="3" t="s">
        <v>8</v>
      </c>
      <c r="H2">
        <v>0</v>
      </c>
    </row>
    <row r="3" spans="1:9" ht="22.5" customHeight="1" x14ac:dyDescent="0.35">
      <c r="A3" s="56" t="s">
        <v>1</v>
      </c>
      <c r="B3" s="56"/>
      <c r="C3" s="57"/>
      <c r="D3" s="57"/>
      <c r="E3" s="18" t="s">
        <v>143</v>
      </c>
      <c r="G3" t="s">
        <v>235</v>
      </c>
      <c r="H3" t="s">
        <v>237</v>
      </c>
    </row>
    <row r="5" spans="1:9" s="3" customFormat="1" ht="49.5" customHeight="1" thickBot="1" x14ac:dyDescent="0.45">
      <c r="A5" s="50" t="s">
        <v>2</v>
      </c>
      <c r="B5" s="50"/>
      <c r="C5" s="50"/>
      <c r="D5" s="51"/>
      <c r="E5" s="7" t="s">
        <v>10</v>
      </c>
      <c r="F5" s="52" t="s">
        <v>7</v>
      </c>
      <c r="G5" s="53"/>
      <c r="H5" s="53"/>
    </row>
    <row r="6" spans="1:9" s="3" customFormat="1" ht="20.25" customHeight="1" thickTop="1" x14ac:dyDescent="0.4">
      <c r="A6" s="22" t="s">
        <v>192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4">
      <c r="A7" s="35" t="s">
        <v>193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4">
      <c r="A8" s="35" t="s">
        <v>194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4">
      <c r="A9" s="35" t="s">
        <v>196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4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4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4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4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4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4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4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4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4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4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4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4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4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4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4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25"/>
    <row r="26" spans="1:9" ht="20.25" customHeight="1" thickBot="1" x14ac:dyDescent="0.45">
      <c r="A26" s="50" t="s">
        <v>3</v>
      </c>
      <c r="B26" s="51"/>
      <c r="C26" s="50"/>
      <c r="D26" s="51"/>
      <c r="E26" s="10" t="s">
        <v>10</v>
      </c>
      <c r="F26" s="52" t="s">
        <v>7</v>
      </c>
      <c r="G26" s="53"/>
      <c r="H26" s="53"/>
      <c r="I26" s="3"/>
    </row>
    <row r="27" spans="1:9" ht="20.25" customHeight="1" thickTop="1" x14ac:dyDescent="0.4">
      <c r="A27" s="20"/>
      <c r="B27" s="15"/>
      <c r="C27" s="15"/>
      <c r="D27" s="16"/>
      <c r="E27" s="8"/>
      <c r="F27" s="13" t="s">
        <v>11</v>
      </c>
      <c r="G27" s="54" t="s">
        <v>5</v>
      </c>
      <c r="H27" s="54"/>
      <c r="I27" s="14" t="s">
        <v>6</v>
      </c>
    </row>
    <row r="28" spans="1:9" ht="20.25" customHeight="1" x14ac:dyDescent="0.4">
      <c r="A28" s="21"/>
      <c r="B28" s="8"/>
      <c r="C28" s="8"/>
      <c r="D28" s="17"/>
      <c r="E28" s="8"/>
      <c r="F28" s="12" t="s">
        <v>11</v>
      </c>
      <c r="G28" s="49" t="s">
        <v>5</v>
      </c>
      <c r="H28" s="49"/>
      <c r="I28" s="11" t="s">
        <v>6</v>
      </c>
    </row>
    <row r="29" spans="1:9" ht="20.25" customHeight="1" x14ac:dyDescent="0.4">
      <c r="A29" s="8"/>
      <c r="B29" s="8"/>
      <c r="C29" s="8"/>
      <c r="D29" s="17"/>
      <c r="E29" s="8"/>
      <c r="F29" s="12" t="s">
        <v>11</v>
      </c>
      <c r="G29" s="49" t="s">
        <v>5</v>
      </c>
      <c r="H29" s="49"/>
      <c r="I29" s="11" t="s">
        <v>6</v>
      </c>
    </row>
    <row r="30" spans="1:9" ht="20.25" customHeight="1" x14ac:dyDescent="0.4">
      <c r="A30" s="8"/>
      <c r="B30" s="8"/>
      <c r="C30" s="8"/>
      <c r="D30" s="17"/>
      <c r="E30" s="8"/>
      <c r="F30" s="12" t="s">
        <v>11</v>
      </c>
      <c r="G30" s="49" t="s">
        <v>5</v>
      </c>
      <c r="H30" s="49"/>
      <c r="I30" s="11" t="s">
        <v>6</v>
      </c>
    </row>
    <row r="31" spans="1:9" ht="20.25" customHeight="1" x14ac:dyDescent="0.4">
      <c r="A31" s="8"/>
      <c r="B31" s="8"/>
      <c r="C31" s="8"/>
      <c r="D31" s="17"/>
      <c r="E31" s="8"/>
      <c r="F31" s="12" t="s">
        <v>11</v>
      </c>
      <c r="G31" s="49" t="s">
        <v>5</v>
      </c>
      <c r="H31" s="49"/>
      <c r="I31" s="11" t="s">
        <v>6</v>
      </c>
    </row>
    <row r="32" spans="1:9" ht="20.25" customHeight="1" x14ac:dyDescent="0.4">
      <c r="A32" s="8"/>
      <c r="B32" s="8"/>
      <c r="C32" s="8"/>
      <c r="D32" s="17"/>
      <c r="E32" s="8"/>
      <c r="F32" s="12" t="s">
        <v>11</v>
      </c>
      <c r="G32" s="49" t="s">
        <v>5</v>
      </c>
      <c r="H32" s="49"/>
      <c r="I32" s="11" t="s">
        <v>6</v>
      </c>
    </row>
    <row r="33" spans="1:7" ht="10.5" customHeight="1" x14ac:dyDescent="0.25"/>
    <row r="34" spans="1:7" ht="26.25" x14ac:dyDescent="0.4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14</vt:i4>
      </vt:variant>
    </vt:vector>
  </HeadingPairs>
  <TitlesOfParts>
    <vt:vector size="14" baseType="lpstr">
      <vt:lpstr>Statistique_Kit</vt:lpstr>
      <vt:lpstr>Kit_Montage_Template</vt:lpstr>
      <vt:lpstr>Kit_Montage_Template (2)</vt:lpstr>
      <vt:lpstr>Kit_Carrosserie</vt:lpstr>
      <vt:lpstr>Kit_Pédalier</vt:lpstr>
      <vt:lpstr>Kit_Direction</vt:lpstr>
      <vt:lpstr>Kit_Roues équipées</vt:lpstr>
      <vt:lpstr>Kit_Triangles</vt:lpstr>
      <vt:lpstr>Kit_BAR</vt:lpstr>
      <vt:lpstr>Kit_Freinage</vt:lpstr>
      <vt:lpstr>Kit__Transm_Sec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Michele</cp:lastModifiedBy>
  <cp:lastPrinted>2019-01-07T15:37:01Z</cp:lastPrinted>
  <dcterms:created xsi:type="dcterms:W3CDTF">2018-03-13T12:23:21Z</dcterms:created>
  <dcterms:modified xsi:type="dcterms:W3CDTF">2019-03-21T13:04:06Z</dcterms:modified>
</cp:coreProperties>
</file>