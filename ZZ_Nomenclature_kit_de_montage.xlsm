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xr:revisionPtr revIDLastSave="0" documentId="13_ncr:1_{1CFBA5E1-2552-4ECE-B78F-08081456D124}" xr6:coauthVersionLast="40" xr6:coauthVersionMax="40" xr10:uidLastSave="{00000000-0000-0000-0000-000000000000}"/>
  <bookViews>
    <workbookView xWindow="-110" yWindow="-110" windowWidth="25820" windowHeight="15620" tabRatio="741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Carrosserie" sheetId="3" r:id="rId4"/>
    <sheet name="Kit_Pédalier" sheetId="16" r:id="rId5"/>
    <sheet name="Kit_Direction" sheetId="4" r:id="rId6"/>
    <sheet name="Kit_Roue équipée_AR" sheetId="5" r:id="rId7"/>
    <sheet name="Kit_Roue équipée_AV" sheetId="20" r:id="rId8"/>
    <sheet name="Kit_Triangles" sheetId="6" r:id="rId9"/>
    <sheet name="Kit_BAR" sheetId="7" r:id="rId10"/>
    <sheet name="Kit_Freinage" sheetId="8" r:id="rId11"/>
    <sheet name="Kit__Transm_Sec" sheetId="19" r:id="rId12"/>
    <sheet name="Kit_CircuitCarburant" sheetId="9" r:id="rId13"/>
    <sheet name="Kit_Admission" sheetId="11" r:id="rId14"/>
    <sheet name="Kit_Echappement" sheetId="12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0" l="1"/>
  <c r="E15" i="10"/>
  <c r="E14" i="10"/>
  <c r="E13" i="10"/>
  <c r="E12" i="10"/>
  <c r="E11" i="10"/>
  <c r="E10" i="10"/>
  <c r="E9" i="10"/>
  <c r="C9" i="10"/>
  <c r="B9" i="10"/>
  <c r="A9" i="10"/>
  <c r="E8" i="10"/>
  <c r="E7" i="10"/>
  <c r="E6" i="10"/>
  <c r="E5" i="10"/>
  <c r="D13" i="10" l="1"/>
  <c r="C13" i="10"/>
  <c r="B13" i="10"/>
  <c r="A13" i="10"/>
  <c r="H1" i="11"/>
  <c r="H1" i="9"/>
  <c r="H1" i="8"/>
  <c r="H1" i="7"/>
  <c r="H1" i="6"/>
  <c r="H1" i="4"/>
  <c r="H1" i="16"/>
  <c r="H1" i="19"/>
  <c r="H1" i="5" l="1"/>
  <c r="H1" i="20"/>
  <c r="H1" i="17" l="1"/>
  <c r="C6" i="10" l="1"/>
  <c r="D6" i="10"/>
  <c r="B6" i="10"/>
  <c r="A6" i="10"/>
  <c r="D16" i="10" l="1"/>
  <c r="B16" i="10"/>
  <c r="A16" i="10"/>
  <c r="D15" i="10"/>
  <c r="B15" i="10"/>
  <c r="A15" i="10"/>
  <c r="H1" i="12"/>
  <c r="C16" i="10" s="1"/>
  <c r="C15" i="10"/>
  <c r="D14" i="10"/>
  <c r="B14" i="10"/>
  <c r="A14" i="10"/>
  <c r="D12" i="10"/>
  <c r="B12" i="10"/>
  <c r="A12" i="10"/>
  <c r="D11" i="10"/>
  <c r="B11" i="10"/>
  <c r="A11" i="10"/>
  <c r="D10" i="10"/>
  <c r="B10" i="10"/>
  <c r="A10" i="10"/>
  <c r="D8" i="10"/>
  <c r="B8" i="10"/>
  <c r="A8" i="10"/>
  <c r="D7" i="10"/>
  <c r="B7" i="10"/>
  <c r="A7" i="10"/>
  <c r="D5" i="10"/>
  <c r="B5" i="10"/>
  <c r="A5" i="10"/>
  <c r="C14" i="10"/>
  <c r="C12" i="10"/>
  <c r="D20" i="10" l="1"/>
  <c r="C11" i="10"/>
  <c r="E22" i="6" l="1"/>
  <c r="C10" i="10" s="1"/>
  <c r="C8" i="10" l="1"/>
  <c r="C7" i="10" l="1"/>
  <c r="H1" i="3" l="1"/>
  <c r="C5" i="10" s="1"/>
  <c r="C20" i="10" s="1"/>
  <c r="H1" i="1" l="1"/>
</calcChain>
</file>

<file path=xl/sharedStrings.xml><?xml version="1.0" encoding="utf-8"?>
<sst xmlns="http://schemas.openxmlformats.org/spreadsheetml/2006/main" count="1876" uniqueCount="264">
  <si>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</si>
  <si>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</si>
  <si>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</si>
  <si>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</si>
  <si>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</si>
  <si>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</si>
  <si>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</si>
  <si>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</si>
  <si>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</si>
  <si>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</si>
  <si>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</si>
  <si>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</si>
  <si>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</si>
  <si>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</si>
  <si>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</si>
  <si>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</si>
  <si>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</si>
  <si>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</si>
  <si>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</si>
  <si>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</si>
  <si>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</si>
  <si>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</si>
  <si>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</si>
  <si>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</si>
  <si>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</si>
  <si>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</si>
  <si>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</si>
  <si>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</si>
  <si>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</si>
  <si>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</si>
  <si>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</si>
  <si>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</si>
  <si>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</si>
  <si>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</si>
  <si>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</si>
  <si>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</si>
  <si>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</si>
  <si>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</si>
  <si>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</si>
  <si>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</si>
  <si>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</si>
  <si>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</si>
  <si>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</si>
  <si>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</si>
  <si>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</si>
  <si>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</si>
  <si>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</si>
  <si>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</si>
  <si>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</si>
  <si>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</si>
  <si>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</si>
  <si>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</si>
  <si>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</si>
  <si>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Speed Sensor</t>
  </si>
  <si>
    <t>roue dente capteur vitesse</t>
  </si>
  <si>
    <t>WT_02006 (Speed Sensor Disc Spacer 3mm)</t>
  </si>
  <si>
    <t>WT_02004 (Speed Sensor Disc Spacer)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</si>
  <si>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</si>
  <si>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</si>
  <si>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</si>
  <si>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</si>
  <si>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</si>
  <si>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</si>
  <si>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</si>
  <si>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</si>
  <si>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</si>
  <si>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</si>
  <si>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</si>
  <si>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</si>
  <si>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</si>
  <si>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</si>
  <si>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</si>
  <si>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</si>
  <si>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</si>
  <si>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</si>
  <si>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</si>
  <si>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</si>
  <si>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</si>
  <si>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</si>
  <si>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</si>
  <si>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</si>
  <si>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</si>
  <si>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</si>
  <si>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</si>
  <si>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</si>
  <si>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</si>
  <si>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</si>
  <si>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</si>
  <si>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</si>
  <si>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</si>
  <si>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</si>
  <si>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</si>
  <si>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</si>
  <si>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</si>
  <si>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</si>
  <si>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</si>
  <si>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</si>
  <si>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</si>
  <si>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</si>
  <si>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</si>
  <si>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</si>
  <si>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</si>
  <si>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</si>
  <si>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</si>
  <si>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</si>
  <si>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</si>
  <si>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</si>
  <si>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</si>
  <si>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</si>
  <si>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</si>
  <si>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</si>
  <si>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</si>
  <si>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</si>
  <si>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</si>
  <si>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</si>
  <si>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</si>
  <si>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</si>
  <si>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</si>
  <si>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</si>
  <si>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</si>
  <si>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</si>
  <si>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</si>
  <si>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</si>
  <si>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</si>
  <si>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</si>
  <si>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</si>
  <si>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</si>
  <si>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</si>
  <si>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</si>
  <si>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</si>
  <si>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</si>
  <si>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</si>
  <si>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</si>
  <si>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</si>
  <si>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</si>
  <si>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</si>
  <si>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</si>
  <si>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</si>
  <si>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</si>
  <si>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</si>
  <si>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</si>
  <si>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</si>
  <si>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</si>
  <si>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</si>
  <si>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</si>
  <si>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</si>
  <si>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</si>
  <si>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</si>
  <si>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</si>
  <si>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</si>
  <si>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</si>
  <si>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</si>
  <si>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</si>
  <si>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</si>
  <si>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</si>
  <si>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</si>
  <si>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</si>
  <si>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</si>
  <si>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</si>
  <si>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</si>
  <si>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</si>
  <si>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</si>
  <si>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</si>
  <si>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</si>
  <si>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</si>
  <si>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</si>
  <si>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</si>
  <si>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</si>
  <si>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</si>
  <si>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</si>
  <si>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</si>
  <si>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</si>
  <si>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</si>
  <si>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</si>
  <si>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</si>
  <si>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</si>
  <si>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</si>
  <si>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</si>
  <si>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</si>
  <si>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</si>
  <si>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</si>
  <si>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</si>
  <si>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</si>
  <si>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</si>
  <si>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</si>
  <si>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</si>
  <si>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</si>
  <si>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</si>
  <si>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</si>
  <si>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</si>
  <si>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</si>
  <si>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</si>
  <si>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</si>
  <si>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</si>
  <si>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</si>
  <si>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</si>
  <si>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</si>
  <si>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</si>
  <si>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</si>
  <si>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</si>
  <si>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</si>
  <si>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</si>
  <si>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</si>
  <si>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</si>
  <si>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</si>
  <si>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</si>
  <si>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</si>
  <si>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</si>
  <si>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</si>
  <si>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</si>
  <si>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</si>
  <si>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</si>
  <si>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</si>
  <si>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</si>
  <si>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</si>
  <si>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</si>
  <si>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</si>
  <si>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</si>
  <si>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</si>
  <si>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</si>
  <si>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</si>
  <si>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</si>
  <si>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</si>
  <si>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</si>
  <si>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</si>
  <si>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SU_1000_001 (Front Left Upright)</t>
  </si>
  <si>
    <t>WT_0200_001 (Front Hub)</t>
  </si>
  <si>
    <t>BR_0100_001_MM (Brake Caliper)</t>
  </si>
  <si>
    <t>SU_10003 (Upper Arm Wedge)</t>
  </si>
  <si>
    <t>S71910 ACD/P4A_PART1-S71910 ACD</t>
  </si>
  <si>
    <t>WT_02003 (Front Bearing Washer)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</si>
  <si>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</si>
  <si>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</si>
  <si>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</si>
  <si>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</si>
  <si>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</si>
  <si>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</si>
  <si>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</si>
  <si>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</si>
  <si>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</si>
  <si>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</si>
  <si>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</si>
  <si>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</si>
  <si>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</si>
  <si>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</si>
  <si>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</si>
  <si>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</si>
  <si>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</si>
  <si>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</si>
  <si>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</si>
  <si>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</si>
  <si>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Vis Chc M4*20</t>
  </si>
  <si>
    <t>Ecrou Nylstop M4</t>
  </si>
  <si>
    <t>Vic Chc M6*15</t>
  </si>
  <si>
    <t>Ecrou Nylstop M6</t>
  </si>
  <si>
    <t>Excentrique gauche + droit</t>
  </si>
  <si>
    <t>Porte excentrique gauche + droit</t>
  </si>
  <si>
    <t>Boulons M3 (guillotine)</t>
  </si>
  <si>
    <t>Frette de frein</t>
  </si>
  <si>
    <t>PROM :</t>
  </si>
  <si>
    <t>NOK</t>
  </si>
  <si>
    <t>OK</t>
  </si>
  <si>
    <t>PROM</t>
  </si>
  <si>
    <t>roues equipées avants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</si>
</sst>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0" applyBorder="1"/>
    <xf numFmtId="0" fontId="13" fillId="0" borderId="0" xfId="0" applyFont="1" applyAlignment="1"/>
    <xf numFmtId="0" fontId="0" fillId="0" borderId="4" xfId="0" applyFill="1" applyBorder="1"/>
    <xf numFmtId="0" fontId="0" fillId="0" borderId="6" xfId="0" applyFill="1" applyBorder="1"/>
    <xf numFmtId="0" fontId="0" fillId="0" borderId="4" xfId="0" applyFont="1" applyFill="1" applyBorder="1"/>
    <xf numFmtId="0" fontId="6" fillId="0" borderId="0" xfId="0" applyFont="1" applyBorder="1" applyAlignment="1"/>
    <xf numFmtId="0" fontId="15" fillId="0" borderId="0" xfId="0" applyFont="1" applyBorder="1" applyAlignment="1"/>
    <xf numFmtId="0" fontId="14" fillId="0" borderId="0" xfId="0" applyFont="1" applyBorder="1" applyAlignment="1"/>
    <xf numFmtId="0" fontId="0" fillId="0" borderId="0" xfId="0" applyFont="1" applyBorder="1" applyAlignment="1"/>
    <xf numFmtId="0" fontId="11" fillId="0" borderId="3" xfId="0" applyFont="1" applyBorder="1"/>
    <xf numFmtId="0" fontId="11" fillId="0" borderId="13" xfId="0" applyFont="1" applyBorder="1" applyAlignment="1"/>
    <xf numFmtId="0" fontId="11" fillId="0" borderId="14" xfId="0" applyFont="1" applyBorder="1" applyAlignment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1" fillId="2" borderId="0" xfId="0" applyFont="1" applyFill="1"/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6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/>
    <xf numFmtId="0" fontId="0" fillId="0" borderId="16" xfId="0" applyBorder="1"/>
    <xf numFmtId="0" fontId="11" fillId="0" borderId="3" xfId="0" applyFont="1" applyBorder="1" applyAlignment="1"/>
    <xf numFmtId="0" fontId="11" fillId="0" borderId="16" xfId="0" applyFont="1" applyBorder="1" applyAlignment="1"/>
    <xf numFmtId="0" fontId="11" fillId="0" borderId="12" xfId="0" applyFont="1" applyBorder="1" applyAlignment="1"/>
    <xf numFmtId="0" fontId="11" fillId="0" borderId="13" xfId="0" applyFont="1" applyBorder="1" applyAlignment="1"/>
    <xf numFmtId="0" fontId="11" fillId="0" borderId="3" xfId="0" applyFont="1" applyBorder="1"/>
    <xf numFmtId="0" fontId="11" fillId="0" borderId="16" xfId="0" applyFont="1" applyBorder="1"/>
    <xf numFmtId="0" fontId="11" fillId="0" borderId="3" xfId="0" applyFont="1" applyFill="1" applyBorder="1"/>
    <xf numFmtId="0" fontId="11" fillId="0" borderId="16" xfId="0" applyFont="1" applyFill="1" applyBorder="1"/>
    <xf numFmtId="0" fontId="8" fillId="0" borderId="0" xfId="0" applyFont="1" applyAlignment="1">
      <alignment horizontal="center"/>
    </xf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2" borderId="0" xfId="0" applyFill="1"/>
    <xf numFmtId="0" fontId="0" fillId="2" borderId="18" xfId="0" applyFill="1" applyBorder="1"/>
    <xf numFmtId="0" fontId="5" fillId="0" borderId="0" xfId="0" applyFont="1" applyAlignment="1">
      <alignment horizontal="center" vertical="top"/>
    </xf>
    <xf numFmtId="0" fontId="16" fillId="0" borderId="3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2" xfId="0" applyFont="1" applyBorder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6" fillId="0" borderId="3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3" xfId="0" applyFont="1" applyBorder="1"/>
    <xf numFmtId="0" fontId="16" fillId="0" borderId="16" xfId="0" applyFont="1" applyBorder="1"/>
    <xf numFmtId="0" fontId="0" fillId="0" borderId="12" xfId="0" applyFont="1" applyBorder="1" applyAlignment="1"/>
    <xf numFmtId="0" fontId="0" fillId="0" borderId="13" xfId="0" applyFont="1" applyBorder="1" applyAlignment="1"/>
    <xf numFmtId="0" fontId="0" fillId="0" borderId="3" xfId="0" applyFont="1" applyBorder="1" applyAlignment="1"/>
    <xf numFmtId="0" fontId="0" fillId="0" borderId="16" xfId="0" applyFont="1" applyBorder="1" applyAlignment="1"/>
    <xf numFmtId="0" fontId="15" fillId="0" borderId="3" xfId="0" applyFont="1" applyBorder="1" applyAlignment="1"/>
    <xf numFmtId="0" fontId="14" fillId="0" borderId="3" xfId="0" applyFont="1" applyBorder="1" applyAlignment="1"/>
    <xf numFmtId="0" fontId="14" fillId="0" borderId="16" xfId="0" applyFont="1" applyBorder="1" applyAlignment="1"/>
    <xf numFmtId="0" fontId="0" fillId="0" borderId="0" xfId="0" applyAlignment="1">
      <alignment horizontal="center"/>
    </xf>
    <xf numFmtId="0" fontId="11" fillId="0" borderId="12" xfId="0" applyFont="1" applyBorder="1"/>
    <xf numFmtId="0" fontId="11" fillId="0" borderId="13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588207808734426"/>
          <c:y val="0.18763888888888891"/>
          <c:w val="0.83990810861416076"/>
          <c:h val="0.51116469816272969"/>
        </c:manualLayout>
      </c:layout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21536"/>
        <c:axId val="-1347027520"/>
      </c:barChart>
      <c:catAx>
        <c:axId val="-134702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27520"/>
        <c:crosses val="autoZero"/>
        <c:auto val="1"/>
        <c:lblAlgn val="ctr"/>
        <c:lblOffset val="100"/>
        <c:noMultiLvlLbl val="0"/>
      </c:catAx>
      <c:valAx>
        <c:axId val="-134702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équipée_AR'!$H$2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34048"/>
        <c:axId val="-1347028064"/>
      </c:barChart>
      <c:catAx>
        <c:axId val="-134703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28064"/>
        <c:crosses val="autoZero"/>
        <c:auto val="1"/>
        <c:lblAlgn val="ctr"/>
        <c:lblOffset val="100"/>
        <c:noMultiLvlLbl val="0"/>
      </c:catAx>
      <c:valAx>
        <c:axId val="-13470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3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20</xdr:row>
      <xdr:rowOff>117475</xdr:rowOff>
    </xdr:from>
    <xdr:to>
      <xdr:col>5</xdr:col>
      <xdr:colOff>501651</xdr:colOff>
      <xdr:row>35</xdr:row>
      <xdr:rowOff>98425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520700</xdr:colOff>
      <xdr:row>36</xdr:row>
      <xdr:rowOff>0</xdr:rowOff>
    </xdr:from>
    <xdr:to>
      <xdr:col>3</xdr:col>
      <xdr:colOff>596900</xdr:colOff>
      <xdr:row>49</xdr:row>
      <xdr:rowOff>40364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F20"/>
  <sheetViews>
    <sheetView showGridLines="0" tabSelected="1" view="pageLayout" zoomScaleNormal="100" workbookViewId="0">
      <selection activeCell="E16" sqref="E16"/>
    </sheetView>
  </sheetViews>
  <sheetFormatPr baseColWidth="10" defaultColWidth="10.81640625" defaultRowHeight="14.5" x14ac:dyDescent="0.35"/>
  <cols>
    <col min="1" max="1" width="20.81640625" customWidth="1"/>
    <col min="2" max="2" width="26" customWidth="1"/>
    <col min="4" max="4" width="8.81640625" customWidth="1"/>
    <col min="5" max="5" width="8.81640625" style="76" customWidth="1"/>
    <col min="8" max="8" width="16.453125" customWidth="1"/>
  </cols>
  <sheetData>
    <row r="2" spans="1:6" x14ac:dyDescent="0.35">
      <c r="A2" s="33" t="s">
        <v>149</v>
      </c>
      <c r="B2" s="43" t="s">
        <v>150</v>
      </c>
    </row>
    <row r="4" spans="1:6" x14ac:dyDescent="0.35">
      <c r="A4" s="35" t="s">
        <v>151</v>
      </c>
      <c r="B4" s="35" t="s">
        <v>152</v>
      </c>
      <c r="C4" s="35" t="s">
        <v>153</v>
      </c>
      <c r="D4" s="35" t="s">
        <v>156</v>
      </c>
      <c r="E4" s="35" t="s">
        <v>262</v>
      </c>
      <c r="F4" s="35" t="s">
        <v>154</v>
      </c>
    </row>
    <row r="5" spans="1:6" x14ac:dyDescent="0.35">
      <c r="A5" s="37" t="str">
        <f>Kit_Carrosserie!B1</f>
        <v>Carrosserie</v>
      </c>
      <c r="B5" s="34" t="str">
        <f>Kit_Carrosserie!E3</f>
        <v xml:space="preserve">Josselin KIEFEL </v>
      </c>
      <c r="C5" s="34">
        <f>Kit_Carrosserie!H1</f>
        <v>22</v>
      </c>
      <c r="D5" s="34">
        <f>Kit_Carrosserie!H2</f>
        <v>0</v>
      </c>
      <c r="E5" s="34" t="str">
        <f>Kit_Carrosserie!H3</f>
        <v>NOK</v>
      </c>
      <c r="F5" s="44"/>
    </row>
    <row r="6" spans="1:6" x14ac:dyDescent="0.35">
      <c r="A6" s="36" t="str">
        <f>Kit_Pédalier!B1</f>
        <v>Pédalier</v>
      </c>
      <c r="B6" s="34" t="str">
        <f>Kit_Pédalier!E3</f>
        <v>BDE</v>
      </c>
      <c r="C6" s="34">
        <f>Kit_Pédalier!H1</f>
        <v>85</v>
      </c>
      <c r="D6" s="34">
        <f>Kit_Pédalier!H2</f>
        <v>0</v>
      </c>
      <c r="E6" s="34" t="str">
        <f>Kit_Pédalier!H3</f>
        <v>OK</v>
      </c>
      <c r="F6" s="44"/>
    </row>
    <row r="7" spans="1:6" x14ac:dyDescent="0.35">
      <c r="A7" s="36" t="str">
        <f>Kit_Direction!B1</f>
        <v>Direction (Steering)</v>
      </c>
      <c r="B7" s="34" t="str">
        <f>Kit_Direction!E3</f>
        <v>Erwan de Longcamp (EDP)</v>
      </c>
      <c r="C7" s="34">
        <f>Kit_Direction!H1</f>
        <v>36</v>
      </c>
      <c r="D7" s="34">
        <f>Kit_Direction!H2</f>
        <v>0</v>
      </c>
      <c r="E7" s="34" t="str">
        <f>Kit_Direction!H3</f>
        <v>NOK</v>
      </c>
      <c r="F7" s="44"/>
    </row>
    <row r="8" spans="1:6" x14ac:dyDescent="0.35">
      <c r="A8" s="36" t="str">
        <f>'Kit_Roue équipée_AR'!B1</f>
        <v>roues equipées arrières</v>
      </c>
      <c r="B8" s="34" t="str">
        <f>'Kit_Roue équipée_AR'!E3</f>
        <v>SCHIO michele</v>
      </c>
      <c r="C8" s="34">
        <f>'Kit_Roue équipée_AR'!H1</f>
        <v>77</v>
      </c>
      <c r="D8" s="34">
        <f>'Kit_Roue équipée_AR'!H2</f>
        <v>0</v>
      </c>
      <c r="E8" s="34" t="str">
        <f>'Kit_Roue équipée_AR'!H3</f>
        <v>OK</v>
      </c>
      <c r="F8" s="44"/>
    </row>
    <row r="9" spans="1:6" s="76" customFormat="1" x14ac:dyDescent="0.35">
      <c r="A9" s="36" t="str">
        <f>'Kit_Roue équipée_AV'!B1</f>
        <v>roues equipées avants</v>
      </c>
      <c r="B9" s="34" t="str">
        <f>'Kit_Roue équipée_AV'!E3</f>
        <v>SCHIO michele</v>
      </c>
      <c r="C9" s="34">
        <f>'Kit_Roue équipée_AV'!H1</f>
        <v>81</v>
      </c>
      <c r="D9" s="34"/>
      <c r="E9" s="34" t="str">
        <f>'Kit_Roue équipée_AV'!H3</f>
        <v>NOK</v>
      </c>
      <c r="F9" s="44"/>
    </row>
    <row r="10" spans="1:6" x14ac:dyDescent="0.35">
      <c r="A10" s="36" t="str">
        <f>Kit_Triangles!B1</f>
        <v>chapes_assy</v>
      </c>
      <c r="B10" s="34" t="str">
        <f>Kit_Triangles!E3</f>
        <v xml:space="preserve">Martin KAWCZYNSKY </v>
      </c>
      <c r="C10" s="34">
        <f>Kit_Triangles!$H1</f>
        <v>114</v>
      </c>
      <c r="D10" s="34">
        <f>Kit_Triangles!$H2</f>
        <v>0</v>
      </c>
      <c r="E10" s="34" t="str">
        <f>Kit_Triangles!H3</f>
        <v>NOK</v>
      </c>
      <c r="F10" s="44"/>
    </row>
    <row r="11" spans="1:6" x14ac:dyDescent="0.35">
      <c r="A11" s="36" t="str">
        <f>Kit_BAR!B1</f>
        <v>Barre anti-roulis</v>
      </c>
      <c r="B11" s="34" t="str">
        <f>Kit_BAR!E3</f>
        <v>Erwan de Longcamp</v>
      </c>
      <c r="C11" s="34">
        <f>Kit_BAR!H1</f>
        <v>64</v>
      </c>
      <c r="D11" s="34">
        <f>Kit_BAR!H2</f>
        <v>0</v>
      </c>
      <c r="E11" s="34" t="str">
        <f>Kit_BAR!H3</f>
        <v>NOK</v>
      </c>
      <c r="F11" s="44"/>
    </row>
    <row r="12" spans="1:6" x14ac:dyDescent="0.35">
      <c r="A12" s="36" t="str">
        <f>Kit_Freinage!B1</f>
        <v>Système de freinage</v>
      </c>
      <c r="B12" s="34" t="str">
        <f>Kit_Freinage!E3</f>
        <v>Erwan de Longcamp</v>
      </c>
      <c r="C12" s="34">
        <f>Kit_Freinage!H1</f>
        <v>33</v>
      </c>
      <c r="D12" s="34">
        <f>Kit_Freinage!H2</f>
        <v>0</v>
      </c>
      <c r="E12" s="34" t="str">
        <f>Kit_Freinage!H3</f>
        <v>NOK</v>
      </c>
      <c r="F12" s="44"/>
    </row>
    <row r="13" spans="1:6" x14ac:dyDescent="0.35">
      <c r="A13" s="38" t="str">
        <f>Kit__Transm_Sec!B1</f>
        <v>Transmission Secondaire</v>
      </c>
      <c r="B13" s="34" t="str">
        <f>Kit__Transm_Sec!E3</f>
        <v>MPY</v>
      </c>
      <c r="C13" s="34">
        <f>Kit__Transm_Sec!H1</f>
        <v>110</v>
      </c>
      <c r="D13" s="34">
        <f>Kit__Transm_Sec!H2</f>
        <v>0</v>
      </c>
      <c r="E13" s="34" t="str">
        <f>Kit__Transm_Sec!H3</f>
        <v>NOK</v>
      </c>
      <c r="F13" s="44"/>
    </row>
    <row r="14" spans="1:6" x14ac:dyDescent="0.35">
      <c r="A14" s="38" t="str">
        <f>Kit_CircuitCarburant!B1</f>
        <v>Circuit de Carburant</v>
      </c>
      <c r="B14" s="34" t="str">
        <f>Kit_CircuitCarburant!E3</f>
        <v>BVL</v>
      </c>
      <c r="C14" s="34">
        <f>Kit_CircuitCarburant!H1</f>
        <v>52</v>
      </c>
      <c r="D14" s="34">
        <f>Kit_CircuitCarburant!H2</f>
        <v>0</v>
      </c>
      <c r="E14" s="34" t="str">
        <f>Kit_CircuitCarburant!H3</f>
        <v>NOK</v>
      </c>
      <c r="F14" s="44"/>
    </row>
    <row r="15" spans="1:6" x14ac:dyDescent="0.35">
      <c r="A15" s="38" t="str">
        <f>Kit_Admission!B1</f>
        <v>Admission (Intake)</v>
      </c>
      <c r="B15" s="34" t="str">
        <f>Kit_Admission!E3</f>
        <v>Clement Emerique</v>
      </c>
      <c r="C15" s="34">
        <f>Kit_Admission!H1</f>
        <v>128</v>
      </c>
      <c r="D15" s="34">
        <f>Kit_Admission!H2</f>
        <v>0</v>
      </c>
      <c r="E15" s="34" t="str">
        <f>Kit_Admission!H3</f>
        <v>NOK</v>
      </c>
      <c r="F15" s="44"/>
    </row>
    <row r="16" spans="1:6" x14ac:dyDescent="0.35">
      <c r="A16" s="38" t="str">
        <f>Kit_Echappement!B1</f>
        <v xml:space="preserve">Echappement </v>
      </c>
      <c r="B16" s="34" t="str">
        <f>Kit_Echappement!E3</f>
        <v>Clement Emerique</v>
      </c>
      <c r="C16" s="34">
        <f>Kit_Echappement!H1</f>
        <v>4</v>
      </c>
      <c r="D16" s="34">
        <f>Kit_Echappement!H2</f>
        <v>0</v>
      </c>
      <c r="E16" s="34" t="str">
        <f>Kit_Echappement!H3</f>
        <v>OK</v>
      </c>
      <c r="F16" s="44"/>
    </row>
    <row r="17" spans="1:6" x14ac:dyDescent="0.35">
      <c r="A17" s="46" t="s">
        <v>161</v>
      </c>
      <c r="B17" s="34" t="s">
        <v>164</v>
      </c>
      <c r="C17" s="34"/>
      <c r="D17" s="34"/>
      <c r="E17" s="34"/>
      <c r="F17" s="44"/>
    </row>
    <row r="18" spans="1:6" x14ac:dyDescent="0.35">
      <c r="A18" s="46" t="s">
        <v>163</v>
      </c>
      <c r="B18" s="34" t="s">
        <v>164</v>
      </c>
      <c r="C18" s="34"/>
      <c r="D18" s="34"/>
      <c r="E18" s="34"/>
      <c r="F18" s="44"/>
    </row>
    <row r="19" spans="1:6" x14ac:dyDescent="0.35">
      <c r="A19" s="46" t="s">
        <v>162</v>
      </c>
      <c r="B19" s="34" t="s">
        <v>164</v>
      </c>
      <c r="C19" s="34"/>
      <c r="D19" s="34"/>
      <c r="E19" s="34"/>
      <c r="F19" s="44"/>
    </row>
    <row r="20" spans="1:6" x14ac:dyDescent="0.35">
      <c r="B20" s="35" t="s">
        <v>160</v>
      </c>
      <c r="C20" s="34">
        <f>SUM(C5:C19)</f>
        <v>806</v>
      </c>
      <c r="D20" s="34">
        <f>SUM(D5:D19)</f>
        <v>0</v>
      </c>
      <c r="E20" s="4"/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/>
      <c r="C1" s="87"/>
      <c r="D1" s="87"/>
      <c r="E1" s="87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88" t="s">
        <v>1</v>
      </c>
      <c r="B3" s="88"/>
      <c r="C3" s="89"/>
      <c r="D3" s="89"/>
      <c r="E3" s="20"/>
    </row>
    <row r="5" spans="1:9" s="3" customFormat="1" ht="49.5" customHeight="1" thickBot="1" x14ac:dyDescent="0.65">
      <c r="A5" s="82" t="s">
        <v>2</v>
      </c>
      <c r="B5" s="82"/>
      <c r="C5" s="82"/>
      <c r="D5" s="83"/>
      <c r="E5" s="9" t="s">
        <v>10</v>
      </c>
      <c r="F5" s="84" t="s">
        <v>7</v>
      </c>
      <c r="G5" s="85"/>
      <c r="H5" s="85"/>
    </row>
    <row r="6" spans="1:9" s="3" customFormat="1" ht="20.149999999999999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.149999999999999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.149999999999999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.149999999999999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.149999999999999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.149999999999999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.149999999999999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.149999999999999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.149999999999999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.149999999999999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.149999999999999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.149999999999999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.149999999999999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.149999999999999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.149999999999999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.149999999999999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.149999999999999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.149999999999999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.149999999999999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82" t="s">
        <v>3</v>
      </c>
      <c r="B27" s="83"/>
      <c r="C27" s="82"/>
      <c r="D27" s="83"/>
      <c r="E27" s="12" t="s">
        <v>10</v>
      </c>
      <c r="F27" s="84" t="s">
        <v>7</v>
      </c>
      <c r="G27" s="85"/>
      <c r="H27" s="85"/>
      <c r="I27" s="3"/>
    </row>
    <row r="28" spans="1:9" ht="20.149999999999999" customHeight="1" thickTop="1" x14ac:dyDescent="0.6">
      <c r="A28" s="22"/>
      <c r="B28" s="17"/>
      <c r="C28" s="17"/>
      <c r="D28" s="18"/>
      <c r="E28" s="10"/>
      <c r="F28" s="15" t="s">
        <v>11</v>
      </c>
      <c r="G28" s="86" t="s">
        <v>5</v>
      </c>
      <c r="H28" s="86"/>
      <c r="I28" s="16" t="s">
        <v>6</v>
      </c>
    </row>
    <row r="29" spans="1:9" ht="20.149999999999999" customHeight="1" x14ac:dyDescent="0.6">
      <c r="A29" s="23"/>
      <c r="B29" s="10"/>
      <c r="C29" s="10"/>
      <c r="D29" s="19"/>
      <c r="E29" s="10"/>
      <c r="F29" s="14" t="s">
        <v>11</v>
      </c>
      <c r="G29" s="81" t="s">
        <v>5</v>
      </c>
      <c r="H29" s="81"/>
      <c r="I29" s="13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81" t="s">
        <v>5</v>
      </c>
      <c r="H30" s="81"/>
      <c r="I30" s="13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81" t="s">
        <v>5</v>
      </c>
      <c r="H31" s="81"/>
      <c r="I31" s="13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81" t="s">
        <v>5</v>
      </c>
      <c r="H32" s="81"/>
      <c r="I32" s="13" t="s">
        <v>6</v>
      </c>
    </row>
    <row r="33" spans="1:9" ht="20.149999999999999" customHeight="1" x14ac:dyDescent="0.6">
      <c r="A33" s="10"/>
      <c r="B33" s="10"/>
      <c r="C33" s="10"/>
      <c r="D33" s="19"/>
      <c r="E33" s="10"/>
      <c r="F33" s="14" t="s">
        <v>11</v>
      </c>
      <c r="G33" s="81" t="s">
        <v>5</v>
      </c>
      <c r="H33" s="81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/>
      <c r="C1" s="87"/>
      <c r="D1" s="87"/>
      <c r="E1" s="87"/>
      <c r="F1" s="42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88" t="s">
        <v>1</v>
      </c>
      <c r="B3" s="88"/>
      <c r="C3" s="89"/>
      <c r="D3" s="89"/>
      <c r="E3" s="20"/>
    </row>
    <row r="5" spans="1:9" s="3" customFormat="1" ht="49.5" customHeight="1" thickBot="1" x14ac:dyDescent="0.65">
      <c r="A5" s="82" t="s">
        <v>2</v>
      </c>
      <c r="B5" s="82"/>
      <c r="C5" s="82"/>
      <c r="D5" s="83"/>
      <c r="E5" s="40" t="s">
        <v>10</v>
      </c>
      <c r="F5" s="84" t="s">
        <v>7</v>
      </c>
      <c r="G5" s="85"/>
      <c r="H5" s="85"/>
    </row>
    <row r="6" spans="1:9" s="3" customFormat="1" ht="20.149999999999999" customHeight="1" thickTop="1" x14ac:dyDescent="0.6">
      <c r="A6" s="47"/>
      <c r="B6" s="17"/>
      <c r="C6" s="17"/>
      <c r="D6" s="17"/>
      <c r="E6" s="8"/>
      <c r="F6" s="15" t="s">
        <v>11</v>
      </c>
      <c r="G6" s="41" t="s">
        <v>5</v>
      </c>
      <c r="H6" s="41" t="s">
        <v>9</v>
      </c>
      <c r="I6" s="41" t="s">
        <v>6</v>
      </c>
    </row>
    <row r="7" spans="1:9" ht="20.149999999999999" customHeight="1" x14ac:dyDescent="0.6">
      <c r="A7" s="21"/>
      <c r="B7" s="45"/>
      <c r="C7" s="45"/>
      <c r="D7" s="45"/>
      <c r="E7" s="11"/>
      <c r="F7" s="14" t="s">
        <v>11</v>
      </c>
      <c r="G7" s="39" t="s">
        <v>5</v>
      </c>
      <c r="H7" s="39" t="s">
        <v>9</v>
      </c>
      <c r="I7" s="39" t="s">
        <v>6</v>
      </c>
    </row>
    <row r="8" spans="1:9" ht="20.149999999999999" customHeight="1" x14ac:dyDescent="0.6">
      <c r="A8" s="21"/>
      <c r="B8" s="45"/>
      <c r="C8" s="45"/>
      <c r="D8" s="45"/>
      <c r="E8" s="6"/>
      <c r="F8" s="14" t="s">
        <v>11</v>
      </c>
      <c r="G8" s="39" t="s">
        <v>5</v>
      </c>
      <c r="H8" s="39" t="s">
        <v>9</v>
      </c>
      <c r="I8" s="39" t="s">
        <v>6</v>
      </c>
    </row>
    <row r="9" spans="1:9" ht="20.149999999999999" customHeight="1" x14ac:dyDescent="0.6">
      <c r="A9" s="21"/>
      <c r="B9" s="45"/>
      <c r="C9" s="45"/>
      <c r="D9" s="45"/>
      <c r="E9" s="6"/>
      <c r="F9" s="14" t="s">
        <v>11</v>
      </c>
      <c r="G9" s="39" t="s">
        <v>5</v>
      </c>
      <c r="H9" s="39" t="s">
        <v>9</v>
      </c>
      <c r="I9" s="39" t="s">
        <v>6</v>
      </c>
    </row>
    <row r="10" spans="1:9" ht="20.149999999999999" customHeight="1" x14ac:dyDescent="0.6">
      <c r="A10" s="21"/>
      <c r="B10" s="45"/>
      <c r="C10" s="45"/>
      <c r="D10" s="45"/>
      <c r="E10" s="6"/>
      <c r="F10" s="14" t="s">
        <v>11</v>
      </c>
      <c r="G10" s="39" t="s">
        <v>5</v>
      </c>
      <c r="H10" s="39" t="s">
        <v>9</v>
      </c>
      <c r="I10" s="39" t="s">
        <v>6</v>
      </c>
    </row>
    <row r="11" spans="1:9" ht="20.149999999999999" customHeight="1" x14ac:dyDescent="0.6">
      <c r="A11" s="45"/>
      <c r="B11" s="45"/>
      <c r="C11" s="45"/>
      <c r="D11" s="45"/>
      <c r="E11" s="6"/>
      <c r="F11" s="14" t="s">
        <v>11</v>
      </c>
      <c r="G11" s="39" t="s">
        <v>5</v>
      </c>
      <c r="H11" s="39" t="s">
        <v>9</v>
      </c>
      <c r="I11" s="39" t="s">
        <v>6</v>
      </c>
    </row>
    <row r="12" spans="1:9" ht="20.149999999999999" customHeight="1" x14ac:dyDescent="0.6">
      <c r="A12" s="45"/>
      <c r="B12" s="45"/>
      <c r="C12" s="45"/>
      <c r="D12" s="45"/>
      <c r="E12" s="6"/>
      <c r="F12" s="14" t="s">
        <v>11</v>
      </c>
      <c r="G12" s="39" t="s">
        <v>5</v>
      </c>
      <c r="H12" s="39" t="s">
        <v>9</v>
      </c>
      <c r="I12" s="39" t="s">
        <v>6</v>
      </c>
    </row>
    <row r="13" spans="1:9" ht="20.149999999999999" customHeight="1" x14ac:dyDescent="0.6">
      <c r="A13" s="45"/>
      <c r="B13" s="45"/>
      <c r="C13" s="45"/>
      <c r="D13" s="45"/>
      <c r="E13" s="6"/>
      <c r="F13" s="14" t="s">
        <v>11</v>
      </c>
      <c r="G13" s="39" t="s">
        <v>5</v>
      </c>
      <c r="H13" s="39" t="s">
        <v>9</v>
      </c>
      <c r="I13" s="39" t="s">
        <v>6</v>
      </c>
    </row>
    <row r="14" spans="1:9" ht="20.149999999999999" customHeight="1" x14ac:dyDescent="0.6">
      <c r="A14" s="45"/>
      <c r="B14" s="45"/>
      <c r="C14" s="45"/>
      <c r="D14" s="45"/>
      <c r="E14" s="6"/>
      <c r="F14" s="14" t="s">
        <v>11</v>
      </c>
      <c r="G14" s="39" t="s">
        <v>5</v>
      </c>
      <c r="H14" s="39" t="s">
        <v>9</v>
      </c>
      <c r="I14" s="39" t="s">
        <v>6</v>
      </c>
    </row>
    <row r="15" spans="1:9" ht="20.149999999999999" customHeight="1" x14ac:dyDescent="0.6">
      <c r="A15" s="45"/>
      <c r="B15" s="45"/>
      <c r="C15" s="45"/>
      <c r="D15" s="45"/>
      <c r="E15" s="6"/>
      <c r="F15" s="14" t="s">
        <v>11</v>
      </c>
      <c r="G15" s="39" t="s">
        <v>5</v>
      </c>
      <c r="H15" s="39" t="s">
        <v>9</v>
      </c>
      <c r="I15" s="39" t="s">
        <v>6</v>
      </c>
    </row>
    <row r="16" spans="1:9" ht="20.149999999999999" customHeight="1" x14ac:dyDescent="0.6">
      <c r="A16" s="45"/>
      <c r="B16" s="45"/>
      <c r="C16" s="45"/>
      <c r="D16" s="45"/>
      <c r="E16" s="6"/>
      <c r="F16" s="14" t="s">
        <v>11</v>
      </c>
      <c r="G16" s="39" t="s">
        <v>5</v>
      </c>
      <c r="H16" s="39" t="s">
        <v>9</v>
      </c>
      <c r="I16" s="39" t="s">
        <v>6</v>
      </c>
    </row>
    <row r="17" spans="1:9" ht="20.149999999999999" customHeight="1" x14ac:dyDescent="0.6">
      <c r="A17" s="45"/>
      <c r="B17" s="45"/>
      <c r="C17" s="45"/>
      <c r="D17" s="45"/>
      <c r="E17" s="6"/>
      <c r="F17" s="14" t="s">
        <v>11</v>
      </c>
      <c r="G17" s="39" t="s">
        <v>5</v>
      </c>
      <c r="H17" s="39" t="s">
        <v>9</v>
      </c>
      <c r="I17" s="39" t="s">
        <v>6</v>
      </c>
    </row>
    <row r="18" spans="1:9" ht="20.149999999999999" customHeight="1" x14ac:dyDescent="0.6">
      <c r="A18" s="45"/>
      <c r="B18" s="45"/>
      <c r="C18" s="45"/>
      <c r="D18" s="45"/>
      <c r="E18" s="6"/>
      <c r="F18" s="14" t="s">
        <v>11</v>
      </c>
      <c r="G18" s="39" t="s">
        <v>5</v>
      </c>
      <c r="H18" s="39" t="s">
        <v>9</v>
      </c>
      <c r="I18" s="39" t="s">
        <v>6</v>
      </c>
    </row>
    <row r="19" spans="1:9" ht="20.149999999999999" customHeight="1" x14ac:dyDescent="0.6">
      <c r="A19" s="45"/>
      <c r="B19" s="45"/>
      <c r="C19" s="45"/>
      <c r="D19" s="45"/>
      <c r="E19" s="6"/>
      <c r="F19" s="14" t="s">
        <v>11</v>
      </c>
      <c r="G19" s="39" t="s">
        <v>5</v>
      </c>
      <c r="H19" s="39" t="s">
        <v>9</v>
      </c>
      <c r="I19" s="39" t="s">
        <v>6</v>
      </c>
    </row>
    <row r="20" spans="1:9" ht="20.149999999999999" customHeight="1" x14ac:dyDescent="0.6">
      <c r="A20" s="45"/>
      <c r="B20" s="45"/>
      <c r="C20" s="45"/>
      <c r="D20" s="45"/>
      <c r="E20" s="6"/>
      <c r="F20" s="14" t="s">
        <v>11</v>
      </c>
      <c r="G20" s="39" t="s">
        <v>5</v>
      </c>
      <c r="H20" s="39" t="s">
        <v>9</v>
      </c>
      <c r="I20" s="39" t="s">
        <v>6</v>
      </c>
    </row>
    <row r="21" spans="1:9" ht="20.149999999999999" customHeight="1" x14ac:dyDescent="0.6">
      <c r="A21" s="45"/>
      <c r="B21" s="45"/>
      <c r="C21" s="45"/>
      <c r="D21" s="45"/>
      <c r="E21" s="6"/>
      <c r="F21" s="14" t="s">
        <v>11</v>
      </c>
      <c r="G21" s="39" t="s">
        <v>5</v>
      </c>
      <c r="H21" s="39" t="s">
        <v>9</v>
      </c>
      <c r="I21" s="39" t="s">
        <v>6</v>
      </c>
    </row>
    <row r="22" spans="1:9" ht="20.149999999999999" customHeight="1" x14ac:dyDescent="0.6">
      <c r="A22" s="45"/>
      <c r="B22" s="45"/>
      <c r="C22" s="45"/>
      <c r="D22" s="45"/>
      <c r="E22" s="6"/>
      <c r="F22" s="14" t="s">
        <v>11</v>
      </c>
      <c r="G22" s="39" t="s">
        <v>5</v>
      </c>
      <c r="H22" s="39" t="s">
        <v>9</v>
      </c>
      <c r="I22" s="39" t="s">
        <v>6</v>
      </c>
    </row>
    <row r="23" spans="1:9" ht="20.149999999999999" customHeight="1" x14ac:dyDescent="0.6">
      <c r="A23" s="45"/>
      <c r="B23" s="45"/>
      <c r="C23" s="45"/>
      <c r="D23" s="45"/>
      <c r="E23" s="6"/>
      <c r="F23" s="14" t="s">
        <v>11</v>
      </c>
      <c r="G23" s="39" t="s">
        <v>5</v>
      </c>
      <c r="H23" s="39" t="s">
        <v>9</v>
      </c>
      <c r="I23" s="39" t="s">
        <v>6</v>
      </c>
    </row>
    <row r="24" spans="1:9" ht="20.149999999999999" customHeight="1" x14ac:dyDescent="0.6">
      <c r="A24" s="45"/>
      <c r="B24" s="45"/>
      <c r="C24" s="45"/>
      <c r="D24" s="45"/>
      <c r="E24" s="6"/>
      <c r="F24" s="14" t="s">
        <v>11</v>
      </c>
      <c r="G24" s="39" t="s">
        <v>5</v>
      </c>
      <c r="H24" s="39" t="s">
        <v>9</v>
      </c>
      <c r="I24" s="39" t="s">
        <v>6</v>
      </c>
    </row>
    <row r="25" spans="1:9" ht="20.149999999999999" customHeight="1" x14ac:dyDescent="0.6">
      <c r="A25" s="45"/>
      <c r="B25" s="45"/>
      <c r="C25" s="45"/>
      <c r="D25" s="45"/>
      <c r="E25" s="6"/>
      <c r="F25" s="14" t="s">
        <v>11</v>
      </c>
      <c r="G25" s="39" t="s">
        <v>5</v>
      </c>
      <c r="H25" s="39" t="s">
        <v>9</v>
      </c>
      <c r="I25" s="39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82" t="s">
        <v>3</v>
      </c>
      <c r="B27" s="83"/>
      <c r="C27" s="82"/>
      <c r="D27" s="83"/>
      <c r="E27" s="12" t="s">
        <v>10</v>
      </c>
      <c r="F27" s="84" t="s">
        <v>7</v>
      </c>
      <c r="G27" s="85"/>
      <c r="H27" s="85"/>
      <c r="I27" s="3"/>
    </row>
    <row r="28" spans="1:9" ht="20.149999999999999" customHeight="1" thickTop="1" x14ac:dyDescent="0.6">
      <c r="A28" s="47"/>
      <c r="B28" s="17"/>
      <c r="C28" s="17"/>
      <c r="D28" s="18"/>
      <c r="E28" s="10"/>
      <c r="F28" s="15" t="s">
        <v>11</v>
      </c>
      <c r="G28" s="86" t="s">
        <v>5</v>
      </c>
      <c r="H28" s="86"/>
      <c r="I28" s="41" t="s">
        <v>6</v>
      </c>
    </row>
    <row r="29" spans="1:9" ht="20.149999999999999" customHeight="1" x14ac:dyDescent="0.6">
      <c r="A29" s="23"/>
      <c r="B29" s="10"/>
      <c r="C29" s="10"/>
      <c r="D29" s="19"/>
      <c r="E29" s="10"/>
      <c r="F29" s="14" t="s">
        <v>11</v>
      </c>
      <c r="G29" s="81" t="s">
        <v>5</v>
      </c>
      <c r="H29" s="81"/>
      <c r="I29" s="39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81" t="s">
        <v>5</v>
      </c>
      <c r="H30" s="81"/>
      <c r="I30" s="39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81" t="s">
        <v>5</v>
      </c>
      <c r="H31" s="81"/>
      <c r="I31" s="39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81" t="s">
        <v>5</v>
      </c>
      <c r="H32" s="81"/>
      <c r="I32" s="39" t="s">
        <v>6</v>
      </c>
    </row>
    <row r="33" spans="1:9" ht="20.149999999999999" customHeight="1" x14ac:dyDescent="0.6">
      <c r="A33" s="10"/>
      <c r="B33" s="10"/>
      <c r="C33" s="10"/>
      <c r="D33" s="19"/>
      <c r="E33" s="10"/>
      <c r="F33" s="14" t="s">
        <v>11</v>
      </c>
      <c r="G33" s="81" t="s">
        <v>5</v>
      </c>
      <c r="H33" s="81"/>
      <c r="I33" s="39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39" t="s">
        <v>13</v>
      </c>
      <c r="D35" s="39" t="s">
        <v>15</v>
      </c>
      <c r="F35" s="39" t="s">
        <v>14</v>
      </c>
      <c r="G35" s="39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FFFF00"/>
  </sheetPr>
  <dimension ref="A1:I35"/>
  <sheetViews>
    <sheetView showGridLines="0" view="pageLayout" zoomScaleNormal="10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17</v>
      </c>
      <c r="C1" s="87"/>
      <c r="D1" s="87"/>
      <c r="E1" s="87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155</v>
      </c>
      <c r="G3" t="s">
        <v>259</v>
      </c>
      <c r="H3" t="s">
        <v>260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4" t="s">
        <v>10</v>
      </c>
      <c r="F5" s="84" t="s">
        <v>7</v>
      </c>
      <c r="G5" s="85"/>
      <c r="H5" s="85"/>
    </row>
    <row r="6" spans="1:9" s="3" customFormat="1" ht="19.75" customHeight="1" thickTop="1" x14ac:dyDescent="0.6">
      <c r="A6" s="98" t="s">
        <v>18</v>
      </c>
      <c r="B6" s="98"/>
      <c r="C6" s="98"/>
      <c r="D6" s="99"/>
      <c r="E6" s="72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100" t="s">
        <v>19</v>
      </c>
      <c r="B7" s="100"/>
      <c r="C7" s="100"/>
      <c r="D7" s="101"/>
      <c r="E7" s="73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100" t="s">
        <v>22</v>
      </c>
      <c r="B8" s="100"/>
      <c r="C8" s="100"/>
      <c r="D8" s="101"/>
      <c r="E8" s="74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100" t="s">
        <v>23</v>
      </c>
      <c r="B9" s="100"/>
      <c r="C9" s="100"/>
      <c r="D9" s="101"/>
      <c r="E9" s="74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100" t="s">
        <v>24</v>
      </c>
      <c r="B10" s="100"/>
      <c r="C10" s="100"/>
      <c r="D10" s="101"/>
      <c r="E10" s="74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82" t="s">
        <v>3</v>
      </c>
      <c r="B27" s="83"/>
      <c r="C27" s="82"/>
      <c r="D27" s="83"/>
      <c r="E27" s="12" t="s">
        <v>10</v>
      </c>
      <c r="F27" s="84" t="s">
        <v>7</v>
      </c>
      <c r="G27" s="85"/>
      <c r="H27" s="85"/>
      <c r="I27" s="3"/>
    </row>
    <row r="28" spans="1:9" ht="19.75" customHeight="1" thickTop="1" x14ac:dyDescent="0.6">
      <c r="A28" s="98" t="s">
        <v>20</v>
      </c>
      <c r="B28" s="98"/>
      <c r="C28" s="98"/>
      <c r="D28" s="99"/>
      <c r="E28" s="32">
        <v>8</v>
      </c>
      <c r="F28" s="15" t="s">
        <v>11</v>
      </c>
      <c r="G28" s="86" t="s">
        <v>5</v>
      </c>
      <c r="H28" s="86"/>
      <c r="I28" s="26" t="s">
        <v>6</v>
      </c>
    </row>
    <row r="29" spans="1:9" ht="19.75" customHeight="1" x14ac:dyDescent="0.6">
      <c r="A29" s="96" t="s">
        <v>21</v>
      </c>
      <c r="B29" s="96"/>
      <c r="C29" s="96"/>
      <c r="D29" s="97"/>
      <c r="E29" s="32">
        <v>8</v>
      </c>
      <c r="F29" s="14" t="s">
        <v>11</v>
      </c>
      <c r="G29" s="81" t="s">
        <v>5</v>
      </c>
      <c r="H29" s="81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81" t="s">
        <v>5</v>
      </c>
      <c r="H30" s="81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81" t="s">
        <v>5</v>
      </c>
      <c r="H31" s="81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81" t="s">
        <v>5</v>
      </c>
      <c r="H32" s="81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81" t="s">
        <v>5</v>
      </c>
      <c r="H33" s="81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9">
    <mergeCell ref="A8:D8"/>
    <mergeCell ref="A9:D9"/>
    <mergeCell ref="A10:D10"/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  <mergeCell ref="A29:D29"/>
    <mergeCell ref="A6:D6"/>
    <mergeCell ref="A7:D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0000"/>
  </sheetPr>
  <dimension ref="A1:I33"/>
  <sheetViews>
    <sheetView showGridLines="0" view="pageLayout" zoomScaleNormal="100" workbookViewId="0">
      <selection activeCell="H4" sqref="H4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165</v>
      </c>
      <c r="C1" s="87"/>
      <c r="D1" s="87"/>
      <c r="E1" s="87"/>
      <c r="F1" s="1"/>
      <c r="G1" s="7" t="s">
        <v>4</v>
      </c>
      <c r="H1">
        <f>SUM(E6:E32)</f>
        <v>85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166</v>
      </c>
      <c r="G3" s="76" t="s">
        <v>259</v>
      </c>
      <c r="H3" s="76" t="s">
        <v>261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8" t="s">
        <v>10</v>
      </c>
      <c r="F5" s="84" t="s">
        <v>7</v>
      </c>
      <c r="G5" s="85"/>
      <c r="H5" s="85"/>
    </row>
    <row r="6" spans="1:9" s="3" customFormat="1" ht="20.149999999999999" customHeight="1" thickTop="1" x14ac:dyDescent="0.6">
      <c r="A6" s="90" t="s">
        <v>167</v>
      </c>
      <c r="B6" s="90"/>
      <c r="C6" s="90"/>
      <c r="D6" s="91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92" t="s">
        <v>168</v>
      </c>
      <c r="B7" s="92"/>
      <c r="C7" s="92"/>
      <c r="D7" s="93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92" t="s">
        <v>169</v>
      </c>
      <c r="B8" s="92"/>
      <c r="C8" s="92"/>
      <c r="D8" s="93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92" t="s">
        <v>170</v>
      </c>
      <c r="B9" s="92"/>
      <c r="C9" s="92"/>
      <c r="D9" s="93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92" t="s">
        <v>171</v>
      </c>
      <c r="B10" s="92"/>
      <c r="C10" s="92"/>
      <c r="D10" s="93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92" t="s">
        <v>172</v>
      </c>
      <c r="B11" s="92"/>
      <c r="C11" s="92"/>
      <c r="D11" s="93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92" t="s">
        <v>173</v>
      </c>
      <c r="B12" s="92"/>
      <c r="C12" s="92"/>
      <c r="D12" s="93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92"/>
      <c r="B13" s="92"/>
      <c r="C13" s="92"/>
      <c r="D13" s="93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92"/>
      <c r="B14" s="92"/>
      <c r="C14" s="92"/>
      <c r="D14" s="93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49999999999999" customHeight="1" x14ac:dyDescent="0.6">
      <c r="A15" s="94"/>
      <c r="B15" s="94"/>
      <c r="C15" s="94"/>
      <c r="D15" s="9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94"/>
      <c r="B16" s="94"/>
      <c r="C16" s="94"/>
      <c r="D16" s="9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94"/>
      <c r="B17" s="94"/>
      <c r="C17" s="94"/>
      <c r="D17" s="9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94"/>
      <c r="B18" s="94"/>
      <c r="C18" s="94"/>
      <c r="D18" s="9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94"/>
      <c r="B19" s="94"/>
      <c r="C19" s="94"/>
      <c r="D19" s="9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94"/>
      <c r="B20" s="94"/>
      <c r="C20" s="94"/>
      <c r="D20" s="9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49999999999999" customHeight="1" x14ac:dyDescent="0.35">
      <c r="A21" s="4"/>
      <c r="B21" s="4"/>
      <c r="C21" s="4"/>
      <c r="E21" s="4"/>
      <c r="F21" s="4"/>
      <c r="G21" s="4"/>
      <c r="H21" s="4"/>
    </row>
    <row r="22" spans="1:9" ht="20.149999999999999" customHeight="1" thickBot="1" x14ac:dyDescent="0.65">
      <c r="A22" s="82" t="s">
        <v>3</v>
      </c>
      <c r="B22" s="83"/>
      <c r="C22" s="82"/>
      <c r="D22" s="83"/>
      <c r="E22" s="12" t="s">
        <v>10</v>
      </c>
      <c r="F22" s="84" t="s">
        <v>7</v>
      </c>
      <c r="G22" s="85"/>
      <c r="H22" s="85"/>
      <c r="I22" s="3"/>
    </row>
    <row r="23" spans="1:9" ht="20.149999999999999" customHeight="1" thickTop="1" x14ac:dyDescent="0.6">
      <c r="A23" s="98" t="s">
        <v>175</v>
      </c>
      <c r="B23" s="98"/>
      <c r="C23" s="98"/>
      <c r="D23" s="99"/>
      <c r="E23" s="32">
        <v>9</v>
      </c>
      <c r="F23" s="15" t="s">
        <v>11</v>
      </c>
      <c r="G23" s="86" t="s">
        <v>5</v>
      </c>
      <c r="H23" s="86"/>
      <c r="I23" s="29" t="s">
        <v>6</v>
      </c>
    </row>
    <row r="24" spans="1:9" ht="20.149999999999999" customHeight="1" x14ac:dyDescent="0.6">
      <c r="A24" s="96" t="s">
        <v>174</v>
      </c>
      <c r="B24" s="96"/>
      <c r="C24" s="96"/>
      <c r="D24" s="97"/>
      <c r="E24" s="32">
        <v>2</v>
      </c>
      <c r="F24" s="14" t="s">
        <v>11</v>
      </c>
      <c r="G24" s="81" t="s">
        <v>5</v>
      </c>
      <c r="H24" s="81"/>
      <c r="I24" s="27" t="s">
        <v>6</v>
      </c>
    </row>
    <row r="25" spans="1:9" ht="20.149999999999999" customHeight="1" x14ac:dyDescent="0.6">
      <c r="A25" s="96" t="s">
        <v>176</v>
      </c>
      <c r="B25" s="96"/>
      <c r="C25" s="96"/>
      <c r="D25" s="97"/>
      <c r="E25" s="32">
        <v>1</v>
      </c>
      <c r="F25" s="14" t="s">
        <v>11</v>
      </c>
      <c r="G25" s="81" t="s">
        <v>5</v>
      </c>
      <c r="H25" s="81"/>
      <c r="I25" s="27" t="s">
        <v>6</v>
      </c>
    </row>
    <row r="26" spans="1:9" ht="20.149999999999999" customHeight="1" x14ac:dyDescent="0.6">
      <c r="A26" s="96" t="s">
        <v>177</v>
      </c>
      <c r="B26" s="96"/>
      <c r="C26" s="96"/>
      <c r="D26" s="97"/>
      <c r="E26" s="32">
        <v>1</v>
      </c>
      <c r="F26" s="14" t="s">
        <v>11</v>
      </c>
      <c r="G26" s="81" t="s">
        <v>5</v>
      </c>
      <c r="H26" s="81"/>
      <c r="I26" s="27" t="s">
        <v>6</v>
      </c>
    </row>
    <row r="27" spans="1:9" ht="20.149999999999999" customHeight="1" x14ac:dyDescent="0.6">
      <c r="A27" s="96" t="s">
        <v>178</v>
      </c>
      <c r="B27" s="96"/>
      <c r="C27" s="96"/>
      <c r="D27" s="97"/>
      <c r="E27" s="32">
        <v>1</v>
      </c>
      <c r="F27" s="14" t="s">
        <v>11</v>
      </c>
      <c r="G27" s="81" t="s">
        <v>5</v>
      </c>
      <c r="H27" s="81"/>
      <c r="I27" s="27" t="s">
        <v>6</v>
      </c>
    </row>
    <row r="28" spans="1:9" ht="20.149999999999999" customHeight="1" x14ac:dyDescent="0.6">
      <c r="A28" s="96" t="s">
        <v>37</v>
      </c>
      <c r="B28" s="96"/>
      <c r="C28" s="96"/>
      <c r="D28" s="97"/>
      <c r="E28" s="32">
        <v>22</v>
      </c>
      <c r="F28" s="14" t="s">
        <v>11</v>
      </c>
      <c r="G28" s="81" t="s">
        <v>5</v>
      </c>
      <c r="H28" s="81"/>
      <c r="I28" s="48" t="s">
        <v>6</v>
      </c>
    </row>
    <row r="29" spans="1:9" ht="20.149999999999999" customHeight="1" x14ac:dyDescent="0.6">
      <c r="A29" s="96" t="s">
        <v>179</v>
      </c>
      <c r="B29" s="96"/>
      <c r="C29" s="96"/>
      <c r="D29" s="97"/>
      <c r="E29" s="32">
        <v>9</v>
      </c>
      <c r="F29" s="14" t="s">
        <v>11</v>
      </c>
      <c r="G29" s="81" t="s">
        <v>5</v>
      </c>
      <c r="H29" s="81"/>
      <c r="I29" s="48" t="s">
        <v>6</v>
      </c>
    </row>
    <row r="30" spans="1:9" ht="20.149999999999999" customHeight="1" x14ac:dyDescent="0.6">
      <c r="A30" s="96" t="s">
        <v>180</v>
      </c>
      <c r="B30" s="96"/>
      <c r="C30" s="96"/>
      <c r="D30" s="97"/>
      <c r="E30" s="32">
        <v>13</v>
      </c>
      <c r="F30" s="14" t="s">
        <v>11</v>
      </c>
      <c r="G30" s="81" t="s">
        <v>5</v>
      </c>
      <c r="H30" s="81"/>
      <c r="I30" s="48" t="s">
        <v>6</v>
      </c>
    </row>
    <row r="31" spans="1:9" ht="19.75" customHeight="1" x14ac:dyDescent="0.6">
      <c r="A31" s="96" t="s">
        <v>181</v>
      </c>
      <c r="B31" s="96"/>
      <c r="C31" s="96"/>
      <c r="D31" s="97"/>
      <c r="E31" s="32">
        <v>9</v>
      </c>
      <c r="F31" s="14" t="s">
        <v>11</v>
      </c>
      <c r="G31" s="81" t="s">
        <v>5</v>
      </c>
      <c r="H31" s="81"/>
      <c r="I31" s="27" t="s">
        <v>6</v>
      </c>
    </row>
    <row r="32" spans="1:9" ht="10.5" customHeight="1" x14ac:dyDescent="0.35">
      <c r="A32" s="4"/>
      <c r="B32" s="4"/>
    </row>
    <row r="33" spans="1:7" ht="26" x14ac:dyDescent="0.6">
      <c r="A33" s="4" t="s">
        <v>12</v>
      </c>
      <c r="B33" s="27" t="s">
        <v>13</v>
      </c>
      <c r="D33" s="27" t="s">
        <v>15</v>
      </c>
      <c r="F33" s="27" t="s">
        <v>14</v>
      </c>
      <c r="G33" s="27" t="s">
        <v>16</v>
      </c>
    </row>
  </sheetData>
  <mergeCells count="39">
    <mergeCell ref="A31:D31"/>
    <mergeCell ref="G30:H30"/>
    <mergeCell ref="A29:D29"/>
    <mergeCell ref="G29:H29"/>
    <mergeCell ref="G28:H28"/>
    <mergeCell ref="A30:D30"/>
    <mergeCell ref="G31:H31"/>
    <mergeCell ref="A28:D28"/>
    <mergeCell ref="A16:D16"/>
    <mergeCell ref="A17:D17"/>
    <mergeCell ref="A18:D18"/>
    <mergeCell ref="A19:D19"/>
    <mergeCell ref="A27:D27"/>
    <mergeCell ref="A23:D23"/>
    <mergeCell ref="A24:D24"/>
    <mergeCell ref="A25:D25"/>
    <mergeCell ref="A26:D26"/>
    <mergeCell ref="A20:D20"/>
    <mergeCell ref="B1:E1"/>
    <mergeCell ref="A3:D3"/>
    <mergeCell ref="A5:D5"/>
    <mergeCell ref="F5:H5"/>
    <mergeCell ref="A22:D22"/>
    <mergeCell ref="F22:H22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G23:H23"/>
    <mergeCell ref="G24:H24"/>
    <mergeCell ref="G25:H25"/>
    <mergeCell ref="G26:H26"/>
    <mergeCell ref="G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>
    <tabColor rgb="FFFF0000"/>
  </sheetPr>
  <dimension ref="A1:I35"/>
  <sheetViews>
    <sheetView showGridLines="0" view="pageLayout" zoomScale="110" zoomScaleNormal="100" zoomScalePageLayoutView="11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25</v>
      </c>
      <c r="C1" s="87"/>
      <c r="D1" s="87"/>
      <c r="E1" s="87"/>
      <c r="F1" s="1"/>
      <c r="G1" s="7" t="s">
        <v>4</v>
      </c>
      <c r="H1" s="2">
        <f>SUM(E6:E32)</f>
        <v>36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104" t="s">
        <v>26</v>
      </c>
      <c r="F3" s="104"/>
      <c r="G3" s="76" t="s">
        <v>259</v>
      </c>
      <c r="H3" s="76" t="s">
        <v>260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4" t="s">
        <v>10</v>
      </c>
      <c r="F5" s="84" t="s">
        <v>7</v>
      </c>
      <c r="G5" s="85"/>
      <c r="H5" s="85"/>
    </row>
    <row r="6" spans="1:9" s="3" customFormat="1" ht="19.75" customHeight="1" thickTop="1" x14ac:dyDescent="0.6">
      <c r="A6" s="98" t="s">
        <v>27</v>
      </c>
      <c r="B6" s="98"/>
      <c r="C6" s="98"/>
      <c r="D6" s="99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100" t="s">
        <v>28</v>
      </c>
      <c r="B7" s="100"/>
      <c r="C7" s="100"/>
      <c r="D7" s="101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100" t="s">
        <v>29</v>
      </c>
      <c r="B8" s="100"/>
      <c r="C8" s="100"/>
      <c r="D8" s="101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100" t="s">
        <v>30</v>
      </c>
      <c r="B9" s="100"/>
      <c r="C9" s="100"/>
      <c r="D9" s="101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100" t="s">
        <v>31</v>
      </c>
      <c r="B10" s="100"/>
      <c r="C10" s="100"/>
      <c r="D10" s="101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100" t="s">
        <v>32</v>
      </c>
      <c r="B11" s="100"/>
      <c r="C11" s="100"/>
      <c r="D11" s="101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102" t="s">
        <v>33</v>
      </c>
      <c r="B12" s="102"/>
      <c r="C12" s="102"/>
      <c r="D12" s="103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100" t="s">
        <v>34</v>
      </c>
      <c r="B13" s="100"/>
      <c r="C13" s="100"/>
      <c r="D13" s="101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100" t="s">
        <v>35</v>
      </c>
      <c r="B14" s="100"/>
      <c r="C14" s="100"/>
      <c r="D14" s="101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82" t="s">
        <v>3</v>
      </c>
      <c r="B27" s="83"/>
      <c r="C27" s="82"/>
      <c r="D27" s="83"/>
      <c r="E27" s="12" t="s">
        <v>10</v>
      </c>
      <c r="F27" s="84" t="s">
        <v>7</v>
      </c>
      <c r="G27" s="85"/>
      <c r="H27" s="85"/>
      <c r="I27" s="3"/>
    </row>
    <row r="28" spans="1:9" ht="19.75" customHeight="1" thickTop="1" x14ac:dyDescent="0.6">
      <c r="A28" s="68" t="s">
        <v>36</v>
      </c>
      <c r="B28" s="31"/>
      <c r="C28" s="31"/>
      <c r="D28" s="69"/>
      <c r="E28" s="32">
        <v>4</v>
      </c>
      <c r="F28" s="15" t="s">
        <v>11</v>
      </c>
      <c r="G28" s="86" t="s">
        <v>5</v>
      </c>
      <c r="H28" s="86"/>
      <c r="I28" s="26" t="s">
        <v>6</v>
      </c>
    </row>
    <row r="29" spans="1:9" ht="19.75" customHeight="1" x14ac:dyDescent="0.6">
      <c r="A29" s="32" t="s">
        <v>37</v>
      </c>
      <c r="B29" s="32"/>
      <c r="C29" s="32"/>
      <c r="D29" s="70"/>
      <c r="E29" s="32">
        <v>8</v>
      </c>
      <c r="F29" s="14" t="s">
        <v>11</v>
      </c>
      <c r="G29" s="81" t="s">
        <v>5</v>
      </c>
      <c r="H29" s="81"/>
      <c r="I29" s="25" t="s">
        <v>6</v>
      </c>
    </row>
    <row r="30" spans="1:9" ht="19.75" customHeight="1" x14ac:dyDescent="0.6">
      <c r="A30" s="32" t="s">
        <v>38</v>
      </c>
      <c r="B30" s="32"/>
      <c r="C30" s="32"/>
      <c r="D30" s="70"/>
      <c r="E30" s="32">
        <v>4</v>
      </c>
      <c r="F30" s="14" t="s">
        <v>11</v>
      </c>
      <c r="G30" s="81" t="s">
        <v>5</v>
      </c>
      <c r="H30" s="81"/>
      <c r="I30" s="25" t="s">
        <v>6</v>
      </c>
    </row>
    <row r="31" spans="1:9" ht="19.75" customHeight="1" x14ac:dyDescent="0.6">
      <c r="A31" s="32" t="s">
        <v>39</v>
      </c>
      <c r="B31" s="32"/>
      <c r="C31" s="32"/>
      <c r="D31" s="70"/>
      <c r="E31" s="32">
        <v>4</v>
      </c>
      <c r="F31" s="14" t="s">
        <v>11</v>
      </c>
      <c r="G31" s="81" t="s">
        <v>5</v>
      </c>
      <c r="H31" s="81"/>
      <c r="I31" s="25" t="s">
        <v>6</v>
      </c>
    </row>
    <row r="32" spans="1:9" ht="19.75" customHeight="1" x14ac:dyDescent="0.6">
      <c r="A32" s="71"/>
      <c r="B32" s="32"/>
      <c r="C32" s="32"/>
      <c r="D32" s="70"/>
      <c r="E32" s="32"/>
      <c r="F32" s="14" t="s">
        <v>11</v>
      </c>
      <c r="G32" s="81" t="s">
        <v>5</v>
      </c>
      <c r="H32" s="81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81" t="s">
        <v>5</v>
      </c>
      <c r="H33" s="81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22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13:D13"/>
    <mergeCell ref="A14:D14"/>
    <mergeCell ref="A8:D8"/>
    <mergeCell ref="A9:D9"/>
    <mergeCell ref="A10:D10"/>
    <mergeCell ref="A11:D11"/>
    <mergeCell ref="A12:D1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>
    <tabColor rgb="FFFF0000"/>
  </sheetPr>
  <dimension ref="A1:I37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18.5" customHeight="1" x14ac:dyDescent="0.6">
      <c r="A1" s="2" t="s">
        <v>0</v>
      </c>
      <c r="B1" s="87" t="s">
        <v>40</v>
      </c>
      <c r="C1" s="87"/>
      <c r="D1" s="87"/>
      <c r="E1" s="87"/>
      <c r="F1" s="1"/>
      <c r="G1" s="7" t="s">
        <v>4</v>
      </c>
      <c r="H1">
        <f>SUM(E6:E35)</f>
        <v>77</v>
      </c>
    </row>
    <row r="2" spans="1:9" ht="19.5" customHeight="1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41</v>
      </c>
      <c r="G3" s="76" t="s">
        <v>259</v>
      </c>
      <c r="H3" s="76" t="s">
        <v>261</v>
      </c>
    </row>
    <row r="5" spans="1:9" s="3" customFormat="1" ht="20.149999999999999" customHeight="1" thickBot="1" x14ac:dyDescent="0.65">
      <c r="A5" s="82" t="s">
        <v>2</v>
      </c>
      <c r="B5" s="82"/>
      <c r="C5" s="82"/>
      <c r="D5" s="83"/>
      <c r="E5" s="24" t="s">
        <v>10</v>
      </c>
      <c r="F5" s="84" t="s">
        <v>7</v>
      </c>
      <c r="G5" s="85"/>
      <c r="H5" s="85"/>
      <c r="I5" s="60"/>
    </row>
    <row r="6" spans="1:9" ht="20.149999999999999" customHeight="1" thickTop="1" x14ac:dyDescent="0.6">
      <c r="A6" s="107" t="s">
        <v>42</v>
      </c>
      <c r="B6" s="107"/>
      <c r="C6" s="107"/>
      <c r="D6" s="108"/>
      <c r="E6" s="11">
        <v>2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.149999999999999" customHeight="1" x14ac:dyDescent="0.6">
      <c r="A7" s="105" t="s">
        <v>43</v>
      </c>
      <c r="B7" s="105"/>
      <c r="C7" s="105"/>
      <c r="D7" s="106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49999999999999" customHeight="1" x14ac:dyDescent="0.6">
      <c r="A8" s="105" t="s">
        <v>44</v>
      </c>
      <c r="B8" s="105"/>
      <c r="C8" s="105"/>
      <c r="D8" s="106"/>
      <c r="E8" s="6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49999999999999" customHeight="1" x14ac:dyDescent="0.6">
      <c r="A9" s="105" t="s">
        <v>45</v>
      </c>
      <c r="B9" s="105"/>
      <c r="C9" s="105"/>
      <c r="D9" s="106"/>
      <c r="E9" s="6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49999999999999" customHeight="1" x14ac:dyDescent="0.6">
      <c r="A10" s="105" t="s">
        <v>46</v>
      </c>
      <c r="B10" s="105"/>
      <c r="C10" s="105"/>
      <c r="D10" s="106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49999999999999" customHeight="1" x14ac:dyDescent="0.6">
      <c r="A11" s="105" t="s">
        <v>47</v>
      </c>
      <c r="B11" s="105"/>
      <c r="C11" s="105"/>
      <c r="D11" s="106"/>
      <c r="E11" s="6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49999999999999" customHeight="1" x14ac:dyDescent="0.6">
      <c r="A12" s="105" t="s">
        <v>48</v>
      </c>
      <c r="B12" s="105"/>
      <c r="C12" s="105"/>
      <c r="D12" s="106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49999999999999" customHeight="1" x14ac:dyDescent="0.6">
      <c r="A13" s="105" t="s">
        <v>49</v>
      </c>
      <c r="B13" s="105"/>
      <c r="C13" s="105"/>
      <c r="D13" s="106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49999999999999" customHeight="1" x14ac:dyDescent="0.6">
      <c r="A14" s="109" t="s">
        <v>50</v>
      </c>
      <c r="B14" s="109"/>
      <c r="C14" s="109"/>
      <c r="D14" s="110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49999999999999" customHeight="1" x14ac:dyDescent="0.6">
      <c r="A15" s="105" t="s">
        <v>51</v>
      </c>
      <c r="B15" s="105"/>
      <c r="C15" s="105"/>
      <c r="D15" s="106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49999999999999" customHeight="1" x14ac:dyDescent="0.6">
      <c r="A16" s="105" t="s">
        <v>52</v>
      </c>
      <c r="B16" s="105"/>
      <c r="C16" s="105"/>
      <c r="D16" s="106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49999999999999" customHeight="1" x14ac:dyDescent="0.6">
      <c r="A17" s="105" t="s">
        <v>53</v>
      </c>
      <c r="B17" s="105"/>
      <c r="C17" s="105"/>
      <c r="D17" s="106"/>
      <c r="E17" s="6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49999999999999" customHeight="1" x14ac:dyDescent="0.6">
      <c r="A18" s="105" t="s">
        <v>54</v>
      </c>
      <c r="B18" s="105"/>
      <c r="C18" s="105"/>
      <c r="D18" s="106"/>
      <c r="E18" s="6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49999999999999" customHeight="1" x14ac:dyDescent="0.6">
      <c r="A19" s="105" t="s">
        <v>55</v>
      </c>
      <c r="B19" s="105"/>
      <c r="C19" s="105"/>
      <c r="D19" s="106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49999999999999" customHeight="1" x14ac:dyDescent="0.6">
      <c r="A20" s="105" t="s">
        <v>56</v>
      </c>
      <c r="B20" s="105"/>
      <c r="C20" s="105"/>
      <c r="D20" s="106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49999999999999" customHeight="1" x14ac:dyDescent="0.6">
      <c r="A21" s="105" t="s">
        <v>258</v>
      </c>
      <c r="B21" s="105"/>
      <c r="C21" s="105"/>
      <c r="D21" s="106"/>
      <c r="E21" s="6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49999999999999" customHeight="1" x14ac:dyDescent="0.6">
      <c r="A22" s="105" t="s">
        <v>57</v>
      </c>
      <c r="B22" s="105"/>
      <c r="C22" s="105"/>
      <c r="D22" s="106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.149999999999999" customHeight="1" x14ac:dyDescent="0.6">
      <c r="A23" s="105" t="s">
        <v>58</v>
      </c>
      <c r="B23" s="105"/>
      <c r="C23" s="105"/>
      <c r="D23" s="106"/>
      <c r="E23" s="6">
        <v>2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1.5" customHeight="1" x14ac:dyDescent="0.35">
      <c r="B24" s="4"/>
      <c r="C24" s="4"/>
      <c r="E24" s="4"/>
      <c r="F24" s="4"/>
      <c r="G24" s="4"/>
      <c r="H24" s="4"/>
    </row>
    <row r="25" spans="1:9" ht="20.149999999999999" customHeight="1" thickBot="1" x14ac:dyDescent="0.65">
      <c r="A25" s="82" t="s">
        <v>3</v>
      </c>
      <c r="B25" s="82"/>
      <c r="C25" s="82"/>
      <c r="D25" s="83"/>
      <c r="E25" s="12" t="s">
        <v>10</v>
      </c>
      <c r="F25" s="84" t="s">
        <v>7</v>
      </c>
      <c r="G25" s="85"/>
      <c r="H25" s="85"/>
      <c r="I25" s="3"/>
    </row>
    <row r="26" spans="1:9" ht="20.149999999999999" customHeight="1" thickTop="1" x14ac:dyDescent="0.6">
      <c r="A26" s="71" t="s">
        <v>59</v>
      </c>
      <c r="B26" s="68"/>
      <c r="C26" s="68"/>
      <c r="D26" s="68"/>
      <c r="E26" s="74">
        <v>5</v>
      </c>
      <c r="F26" s="14" t="s">
        <v>11</v>
      </c>
      <c r="G26" s="25" t="s">
        <v>5</v>
      </c>
      <c r="H26" s="25" t="s">
        <v>9</v>
      </c>
      <c r="I26" s="25" t="s">
        <v>6</v>
      </c>
    </row>
    <row r="27" spans="1:9" ht="20.149999999999999" customHeight="1" x14ac:dyDescent="0.6">
      <c r="A27" s="71" t="s">
        <v>60</v>
      </c>
      <c r="B27" s="68"/>
      <c r="C27" s="68"/>
      <c r="D27" s="68"/>
      <c r="E27" s="74">
        <v>10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.149999999999999" customHeight="1" x14ac:dyDescent="0.6">
      <c r="A28" s="71" t="s">
        <v>61</v>
      </c>
      <c r="B28" s="68"/>
      <c r="C28" s="68"/>
      <c r="D28" s="68"/>
      <c r="E28" s="74">
        <v>1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.149999999999999" customHeight="1" x14ac:dyDescent="0.6">
      <c r="A29" s="71" t="s">
        <v>62</v>
      </c>
      <c r="B29" s="68"/>
      <c r="C29" s="68"/>
      <c r="D29" s="68"/>
      <c r="E29" s="74">
        <v>2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.149999999999999" customHeight="1" x14ac:dyDescent="0.6">
      <c r="A30" s="71" t="s">
        <v>63</v>
      </c>
      <c r="B30" s="68"/>
      <c r="C30" s="68"/>
      <c r="D30" s="68"/>
      <c r="E30" s="74">
        <v>4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.149999999999999" customHeight="1" x14ac:dyDescent="0.6">
      <c r="A31" s="71" t="s">
        <v>64</v>
      </c>
      <c r="B31" s="68"/>
      <c r="C31" s="68"/>
      <c r="D31" s="68"/>
      <c r="E31" s="74">
        <v>6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.149999999999999" customHeight="1" x14ac:dyDescent="0.6">
      <c r="A32" s="71" t="s">
        <v>65</v>
      </c>
      <c r="B32" s="68"/>
      <c r="C32" s="68"/>
      <c r="D32" s="68"/>
      <c r="E32" s="74">
        <v>12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.149999999999999" customHeight="1" x14ac:dyDescent="0.6">
      <c r="A33" s="71" t="s">
        <v>66</v>
      </c>
      <c r="B33" s="68"/>
      <c r="C33" s="68"/>
      <c r="D33" s="68"/>
      <c r="E33" s="74">
        <v>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.149999999999999" customHeight="1" x14ac:dyDescent="0.6">
      <c r="A34" s="71" t="s">
        <v>67</v>
      </c>
      <c r="B34" s="68"/>
      <c r="C34" s="68"/>
      <c r="D34" s="68"/>
      <c r="E34" s="74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.149999999999999" customHeight="1" x14ac:dyDescent="0.6">
      <c r="A35" s="75" t="s">
        <v>68</v>
      </c>
      <c r="B35" s="68"/>
      <c r="C35" s="68"/>
      <c r="D35" s="68"/>
      <c r="E35" s="74">
        <v>1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x14ac:dyDescent="0.35">
      <c r="A36" s="4"/>
      <c r="B36" s="4"/>
    </row>
    <row r="37" spans="1:9" ht="26" x14ac:dyDescent="0.6">
      <c r="A37" s="4" t="s">
        <v>12</v>
      </c>
      <c r="B37" s="25" t="s">
        <v>13</v>
      </c>
      <c r="D37" s="25" t="s">
        <v>15</v>
      </c>
      <c r="F37" s="25" t="s">
        <v>14</v>
      </c>
      <c r="G37" s="25" t="s">
        <v>16</v>
      </c>
    </row>
  </sheetData>
  <mergeCells count="24">
    <mergeCell ref="B1:E1"/>
    <mergeCell ref="A3:D3"/>
    <mergeCell ref="A5:D5"/>
    <mergeCell ref="F5:H5"/>
    <mergeCell ref="A25:D25"/>
    <mergeCell ref="F25:H25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21:D21"/>
    <mergeCell ref="A22:D22"/>
    <mergeCell ref="A23:D23"/>
    <mergeCell ref="A16:D16"/>
    <mergeCell ref="A17:D17"/>
    <mergeCell ref="A18:D18"/>
    <mergeCell ref="A19:D19"/>
    <mergeCell ref="A20:D20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5">
    <tabColor rgb="FFFF0000"/>
  </sheetPr>
  <dimension ref="A1:I37"/>
  <sheetViews>
    <sheetView showGridLines="0" view="pageLayout" zoomScaleNormal="100" workbookViewId="0">
      <selection activeCell="B2" sqref="B2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3.5" customHeight="1" x14ac:dyDescent="0.35">
      <c r="A1" s="77" t="s">
        <v>0</v>
      </c>
      <c r="B1" s="111" t="s">
        <v>263</v>
      </c>
      <c r="C1" s="111"/>
      <c r="D1" s="111"/>
      <c r="E1" s="111"/>
      <c r="F1" s="78"/>
      <c r="G1" s="79" t="s">
        <v>4</v>
      </c>
      <c r="H1" s="80">
        <f>SUM(E6:E35)</f>
        <v>81</v>
      </c>
    </row>
    <row r="2" spans="1:9" ht="16" customHeight="1" x14ac:dyDescent="0.6">
      <c r="G2" s="7" t="s">
        <v>8</v>
      </c>
      <c r="H2">
        <v>0</v>
      </c>
    </row>
    <row r="3" spans="1:9" ht="16.5" customHeight="1" x14ac:dyDescent="0.55000000000000004">
      <c r="A3" s="88" t="s">
        <v>1</v>
      </c>
      <c r="B3" s="88"/>
      <c r="C3" s="89"/>
      <c r="D3" s="89"/>
      <c r="E3" s="20" t="s">
        <v>41</v>
      </c>
      <c r="G3" s="76" t="s">
        <v>259</v>
      </c>
      <c r="H3" s="76" t="s">
        <v>260</v>
      </c>
    </row>
    <row r="5" spans="1:9" s="3" customFormat="1" ht="20.149999999999999" customHeight="1" thickBot="1" x14ac:dyDescent="0.65">
      <c r="A5" s="82" t="s">
        <v>2</v>
      </c>
      <c r="B5" s="82"/>
      <c r="C5" s="82"/>
      <c r="D5" s="83"/>
      <c r="E5" s="58" t="s">
        <v>10</v>
      </c>
      <c r="F5" s="84" t="s">
        <v>7</v>
      </c>
      <c r="G5" s="85"/>
      <c r="H5" s="85"/>
    </row>
    <row r="6" spans="1:9" ht="20.149999999999999" customHeight="1" thickTop="1" x14ac:dyDescent="0.6">
      <c r="A6" t="s">
        <v>225</v>
      </c>
      <c r="B6" s="59"/>
      <c r="C6" s="59"/>
      <c r="D6" s="59"/>
      <c r="E6" s="11">
        <v>2</v>
      </c>
      <c r="F6" s="14" t="s">
        <v>11</v>
      </c>
      <c r="G6" s="57" t="s">
        <v>5</v>
      </c>
      <c r="H6" s="57" t="s">
        <v>9</v>
      </c>
      <c r="I6" s="57" t="s">
        <v>6</v>
      </c>
    </row>
    <row r="7" spans="1:9" ht="20.149999999999999" customHeight="1" x14ac:dyDescent="0.6">
      <c r="A7" t="s">
        <v>44</v>
      </c>
      <c r="B7" s="59"/>
      <c r="C7" s="59"/>
      <c r="D7" s="59"/>
      <c r="E7" s="6">
        <v>2</v>
      </c>
      <c r="F7" s="14" t="s">
        <v>11</v>
      </c>
      <c r="G7" s="57" t="s">
        <v>5</v>
      </c>
      <c r="H7" s="57" t="s">
        <v>9</v>
      </c>
      <c r="I7" s="57" t="s">
        <v>6</v>
      </c>
    </row>
    <row r="8" spans="1:9" ht="20.149999999999999" customHeight="1" x14ac:dyDescent="0.6">
      <c r="A8" t="s">
        <v>45</v>
      </c>
      <c r="B8" s="59"/>
      <c r="C8" s="59"/>
      <c r="D8" s="59"/>
      <c r="E8" s="6">
        <v>2</v>
      </c>
      <c r="F8" s="14" t="s">
        <v>11</v>
      </c>
      <c r="G8" s="57" t="s">
        <v>5</v>
      </c>
      <c r="H8" s="57" t="s">
        <v>9</v>
      </c>
      <c r="I8" s="57" t="s">
        <v>6</v>
      </c>
    </row>
    <row r="9" spans="1:9" ht="20.149999999999999" customHeight="1" x14ac:dyDescent="0.6">
      <c r="A9" t="s">
        <v>226</v>
      </c>
      <c r="B9" s="59"/>
      <c r="C9" s="59"/>
      <c r="D9" s="59"/>
      <c r="E9" s="6">
        <v>2</v>
      </c>
      <c r="F9" s="14" t="s">
        <v>11</v>
      </c>
      <c r="G9" s="57" t="s">
        <v>5</v>
      </c>
      <c r="H9" s="57" t="s">
        <v>9</v>
      </c>
      <c r="I9" s="57" t="s">
        <v>6</v>
      </c>
    </row>
    <row r="10" spans="1:9" ht="20.149999999999999" customHeight="1" x14ac:dyDescent="0.6">
      <c r="A10" t="s">
        <v>227</v>
      </c>
      <c r="B10" s="59"/>
      <c r="C10" s="59"/>
      <c r="D10" s="59"/>
      <c r="E10" s="6">
        <v>1</v>
      </c>
      <c r="F10" s="14" t="s">
        <v>11</v>
      </c>
      <c r="G10" s="57" t="s">
        <v>5</v>
      </c>
      <c r="H10" s="57" t="s">
        <v>9</v>
      </c>
      <c r="I10" s="57" t="s">
        <v>6</v>
      </c>
    </row>
    <row r="11" spans="1:9" ht="20.149999999999999" customHeight="1" x14ac:dyDescent="0.6">
      <c r="A11" t="s">
        <v>51</v>
      </c>
      <c r="B11" s="59"/>
      <c r="C11" s="59"/>
      <c r="D11" s="59"/>
      <c r="E11" s="6">
        <v>2</v>
      </c>
      <c r="F11" s="14" t="s">
        <v>11</v>
      </c>
      <c r="G11" s="57" t="s">
        <v>5</v>
      </c>
      <c r="H11" s="57" t="s">
        <v>9</v>
      </c>
      <c r="I11" s="57" t="s">
        <v>6</v>
      </c>
    </row>
    <row r="12" spans="1:9" ht="20.149999999999999" customHeight="1" x14ac:dyDescent="0.6">
      <c r="A12" t="s">
        <v>228</v>
      </c>
      <c r="B12" s="59"/>
      <c r="C12" s="59"/>
      <c r="D12" s="59"/>
      <c r="E12" s="6">
        <v>2</v>
      </c>
      <c r="F12" s="14" t="s">
        <v>11</v>
      </c>
      <c r="G12" s="57" t="s">
        <v>5</v>
      </c>
      <c r="H12" s="57" t="s">
        <v>9</v>
      </c>
      <c r="I12" s="57" t="s">
        <v>6</v>
      </c>
    </row>
    <row r="13" spans="1:9" ht="20.149999999999999" customHeight="1" x14ac:dyDescent="0.6">
      <c r="A13" t="s">
        <v>229</v>
      </c>
      <c r="B13" s="59"/>
      <c r="C13" s="59"/>
      <c r="D13" s="59"/>
      <c r="E13" s="6">
        <v>2</v>
      </c>
      <c r="F13" s="14" t="s">
        <v>11</v>
      </c>
      <c r="G13" s="57" t="s">
        <v>5</v>
      </c>
      <c r="H13" s="57" t="s">
        <v>9</v>
      </c>
      <c r="I13" s="57" t="s">
        <v>6</v>
      </c>
    </row>
    <row r="14" spans="1:9" ht="20.149999999999999" customHeight="1" x14ac:dyDescent="0.6">
      <c r="A14" t="s">
        <v>230</v>
      </c>
      <c r="B14" s="59"/>
      <c r="C14" s="59"/>
      <c r="D14" s="59"/>
      <c r="E14" s="6">
        <v>1</v>
      </c>
      <c r="F14" s="14" t="s">
        <v>11</v>
      </c>
      <c r="G14" s="57" t="s">
        <v>5</v>
      </c>
      <c r="H14" s="57" t="s">
        <v>9</v>
      </c>
      <c r="I14" s="57" t="s">
        <v>6</v>
      </c>
    </row>
    <row r="15" spans="1:9" ht="20.149999999999999" customHeight="1" x14ac:dyDescent="0.6">
      <c r="A15" t="s">
        <v>231</v>
      </c>
      <c r="B15" s="59"/>
      <c r="C15" s="59"/>
      <c r="D15" s="59"/>
      <c r="E15" s="6">
        <v>1</v>
      </c>
      <c r="F15" s="14" t="s">
        <v>11</v>
      </c>
      <c r="G15" s="57" t="s">
        <v>5</v>
      </c>
      <c r="H15" s="57" t="s">
        <v>9</v>
      </c>
      <c r="I15" s="57" t="s">
        <v>6</v>
      </c>
    </row>
    <row r="16" spans="1:9" ht="20.149999999999999" customHeight="1" x14ac:dyDescent="0.6">
      <c r="A16" t="s">
        <v>232</v>
      </c>
      <c r="B16" s="59"/>
      <c r="C16" s="59"/>
      <c r="D16" s="59"/>
      <c r="E16" s="6">
        <v>1</v>
      </c>
      <c r="F16" s="14" t="s">
        <v>11</v>
      </c>
      <c r="G16" s="57" t="s">
        <v>5</v>
      </c>
      <c r="H16" s="57" t="s">
        <v>9</v>
      </c>
      <c r="I16" s="57" t="s">
        <v>6</v>
      </c>
    </row>
    <row r="17" spans="1:9" ht="20.149999999999999" customHeight="1" x14ac:dyDescent="0.6">
      <c r="A17" t="s">
        <v>56</v>
      </c>
      <c r="B17" s="59"/>
      <c r="C17" s="59"/>
      <c r="D17" s="59"/>
      <c r="E17" s="6">
        <v>2</v>
      </c>
      <c r="F17" s="14" t="s">
        <v>11</v>
      </c>
      <c r="G17" s="57" t="s">
        <v>5</v>
      </c>
      <c r="H17" s="57" t="s">
        <v>9</v>
      </c>
      <c r="I17" s="57" t="s">
        <v>6</v>
      </c>
    </row>
    <row r="18" spans="1:9" ht="20.149999999999999" customHeight="1" x14ac:dyDescent="0.6">
      <c r="A18" t="s">
        <v>52</v>
      </c>
      <c r="B18" s="59"/>
      <c r="C18" s="59"/>
      <c r="D18" s="59"/>
      <c r="E18" s="6">
        <v>6</v>
      </c>
      <c r="F18" s="14" t="s">
        <v>11</v>
      </c>
      <c r="G18" s="57" t="s">
        <v>5</v>
      </c>
      <c r="H18" s="57" t="s">
        <v>9</v>
      </c>
      <c r="I18" s="57" t="s">
        <v>6</v>
      </c>
    </row>
    <row r="19" spans="1:9" ht="20.149999999999999" customHeight="1" x14ac:dyDescent="0.6">
      <c r="A19" t="s">
        <v>54</v>
      </c>
      <c r="B19" s="59"/>
      <c r="C19" s="59"/>
      <c r="D19" s="59"/>
      <c r="E19" s="6">
        <v>1</v>
      </c>
      <c r="F19" s="14" t="s">
        <v>11</v>
      </c>
      <c r="G19" s="57" t="s">
        <v>5</v>
      </c>
      <c r="H19" s="57" t="s">
        <v>9</v>
      </c>
      <c r="I19" s="57" t="s">
        <v>6</v>
      </c>
    </row>
    <row r="20" spans="1:9" ht="20.149999999999999" customHeight="1" x14ac:dyDescent="0.6">
      <c r="A20" t="s">
        <v>53</v>
      </c>
      <c r="B20" s="59"/>
      <c r="C20" s="59"/>
      <c r="D20" s="59"/>
      <c r="E20" s="6">
        <v>1</v>
      </c>
      <c r="F20" s="14" t="s">
        <v>11</v>
      </c>
      <c r="G20" s="57" t="s">
        <v>5</v>
      </c>
      <c r="H20" s="57" t="s">
        <v>9</v>
      </c>
      <c r="I20" s="57" t="s">
        <v>6</v>
      </c>
    </row>
    <row r="21" spans="1:9" ht="20.149999999999999" customHeight="1" x14ac:dyDescent="0.6">
      <c r="A21" t="s">
        <v>55</v>
      </c>
      <c r="B21" s="59"/>
      <c r="C21" s="59"/>
      <c r="D21" s="59"/>
      <c r="E21" s="6">
        <v>1</v>
      </c>
      <c r="F21" s="14" t="s">
        <v>11</v>
      </c>
      <c r="G21" s="57" t="s">
        <v>5</v>
      </c>
      <c r="H21" s="57" t="s">
        <v>9</v>
      </c>
      <c r="I21" s="57" t="s">
        <v>6</v>
      </c>
    </row>
    <row r="22" spans="1:9" ht="20.149999999999999" customHeight="1" x14ac:dyDescent="0.6">
      <c r="A22" t="s">
        <v>58</v>
      </c>
      <c r="B22" s="59"/>
      <c r="C22" s="59"/>
      <c r="D22" s="59"/>
      <c r="E22" s="6">
        <v>2</v>
      </c>
      <c r="F22" s="14" t="s">
        <v>11</v>
      </c>
      <c r="G22" s="57" t="s">
        <v>5</v>
      </c>
      <c r="H22" s="57" t="s">
        <v>9</v>
      </c>
      <c r="I22" s="57" t="s">
        <v>6</v>
      </c>
    </row>
    <row r="23" spans="1:9" ht="20.149999999999999" customHeight="1" x14ac:dyDescent="0.6">
      <c r="A23" t="s">
        <v>258</v>
      </c>
      <c r="B23" s="59"/>
      <c r="C23" s="59"/>
      <c r="D23" s="59"/>
      <c r="E23" s="6">
        <v>2</v>
      </c>
      <c r="F23" s="14" t="s">
        <v>11</v>
      </c>
      <c r="G23" s="57" t="s">
        <v>5</v>
      </c>
      <c r="H23" s="57" t="s">
        <v>9</v>
      </c>
      <c r="I23" s="57" t="s">
        <v>6</v>
      </c>
    </row>
    <row r="24" spans="1:9" ht="13" customHeight="1" x14ac:dyDescent="0.35">
      <c r="B24" s="4"/>
      <c r="C24" s="4"/>
      <c r="E24" s="4"/>
      <c r="F24" s="4"/>
      <c r="G24" s="4"/>
      <c r="H24" s="4"/>
    </row>
    <row r="25" spans="1:9" ht="20.149999999999999" customHeight="1" thickBot="1" x14ac:dyDescent="0.65">
      <c r="A25" s="82" t="s">
        <v>3</v>
      </c>
      <c r="B25" s="82"/>
      <c r="C25" s="82"/>
      <c r="D25" s="83"/>
      <c r="E25" s="12" t="s">
        <v>10</v>
      </c>
      <c r="F25" s="84" t="s">
        <v>7</v>
      </c>
      <c r="G25" s="85"/>
      <c r="H25" s="85"/>
      <c r="I25" s="3"/>
    </row>
    <row r="26" spans="1:9" ht="20.149999999999999" customHeight="1" thickTop="1" x14ac:dyDescent="0.6">
      <c r="A26" t="s">
        <v>233</v>
      </c>
      <c r="B26" s="59"/>
      <c r="C26" s="59"/>
      <c r="D26" s="59"/>
      <c r="E26" s="6">
        <v>2</v>
      </c>
      <c r="F26" s="14" t="s">
        <v>11</v>
      </c>
      <c r="G26" s="57" t="s">
        <v>5</v>
      </c>
      <c r="H26" s="57" t="s">
        <v>9</v>
      </c>
      <c r="I26" s="57" t="s">
        <v>6</v>
      </c>
    </row>
    <row r="27" spans="1:9" ht="20.149999999999999" customHeight="1" x14ac:dyDescent="0.6">
      <c r="A27" t="s">
        <v>234</v>
      </c>
      <c r="B27" s="59"/>
      <c r="C27" s="59"/>
      <c r="D27" s="59"/>
      <c r="E27" s="6">
        <v>2</v>
      </c>
      <c r="F27" s="14" t="s">
        <v>11</v>
      </c>
      <c r="G27" s="57" t="s">
        <v>5</v>
      </c>
      <c r="H27" s="57" t="s">
        <v>9</v>
      </c>
      <c r="I27" s="57" t="s">
        <v>6</v>
      </c>
    </row>
    <row r="28" spans="1:9" ht="20.149999999999999" customHeight="1" x14ac:dyDescent="0.6">
      <c r="A28" t="s">
        <v>61</v>
      </c>
      <c r="B28" s="59"/>
      <c r="C28" s="59"/>
      <c r="D28" s="59"/>
      <c r="E28" s="6">
        <v>2</v>
      </c>
      <c r="F28" s="14" t="s">
        <v>11</v>
      </c>
      <c r="G28" s="57" t="s">
        <v>5</v>
      </c>
      <c r="H28" s="57" t="s">
        <v>9</v>
      </c>
      <c r="I28" s="57" t="s">
        <v>6</v>
      </c>
    </row>
    <row r="29" spans="1:9" ht="20.149999999999999" customHeight="1" x14ac:dyDescent="0.6">
      <c r="A29" t="s">
        <v>59</v>
      </c>
      <c r="B29" s="59"/>
      <c r="C29" s="59"/>
      <c r="D29" s="59"/>
      <c r="E29" s="6">
        <v>5</v>
      </c>
      <c r="F29" s="14" t="s">
        <v>11</v>
      </c>
      <c r="G29" s="57" t="s">
        <v>5</v>
      </c>
      <c r="H29" s="57" t="s">
        <v>9</v>
      </c>
      <c r="I29" s="57" t="s">
        <v>6</v>
      </c>
    </row>
    <row r="30" spans="1:9" ht="20.149999999999999" customHeight="1" x14ac:dyDescent="0.6">
      <c r="A30" t="s">
        <v>60</v>
      </c>
      <c r="B30" s="59"/>
      <c r="C30" s="59"/>
      <c r="D30" s="59"/>
      <c r="E30" s="6">
        <v>10</v>
      </c>
      <c r="F30" s="14" t="s">
        <v>11</v>
      </c>
      <c r="G30" s="57" t="s">
        <v>5</v>
      </c>
      <c r="H30" s="57" t="s">
        <v>9</v>
      </c>
      <c r="I30" s="57" t="s">
        <v>6</v>
      </c>
    </row>
    <row r="31" spans="1:9" ht="20.149999999999999" customHeight="1" x14ac:dyDescent="0.6">
      <c r="A31" t="s">
        <v>62</v>
      </c>
      <c r="B31" s="59"/>
      <c r="C31" s="59"/>
      <c r="D31" s="59"/>
      <c r="E31" s="6">
        <v>1</v>
      </c>
      <c r="F31" s="14" t="s">
        <v>11</v>
      </c>
      <c r="G31" s="57" t="s">
        <v>5</v>
      </c>
      <c r="H31" s="57" t="s">
        <v>9</v>
      </c>
      <c r="I31" s="57" t="s">
        <v>6</v>
      </c>
    </row>
    <row r="32" spans="1:9" ht="20.149999999999999" customHeight="1" x14ac:dyDescent="0.6">
      <c r="A32" t="s">
        <v>67</v>
      </c>
      <c r="B32" s="59"/>
      <c r="C32" s="59"/>
      <c r="D32" s="59"/>
      <c r="E32" s="6">
        <v>2</v>
      </c>
      <c r="F32" s="14" t="s">
        <v>11</v>
      </c>
      <c r="G32" s="57" t="s">
        <v>5</v>
      </c>
      <c r="H32" s="57" t="s">
        <v>9</v>
      </c>
      <c r="I32" s="57" t="s">
        <v>6</v>
      </c>
    </row>
    <row r="33" spans="1:9" ht="20.149999999999999" customHeight="1" x14ac:dyDescent="0.6">
      <c r="A33" t="s">
        <v>235</v>
      </c>
      <c r="B33" s="59"/>
      <c r="C33" s="59"/>
      <c r="D33" s="59"/>
      <c r="E33" s="6">
        <v>6</v>
      </c>
      <c r="F33" s="14" t="s">
        <v>11</v>
      </c>
      <c r="G33" s="57" t="s">
        <v>5</v>
      </c>
      <c r="H33" s="57" t="s">
        <v>9</v>
      </c>
      <c r="I33" s="57" t="s">
        <v>6</v>
      </c>
    </row>
    <row r="34" spans="1:9" ht="20.149999999999999" customHeight="1" x14ac:dyDescent="0.6">
      <c r="A34" t="s">
        <v>236</v>
      </c>
      <c r="B34" s="59"/>
      <c r="C34" s="59"/>
      <c r="D34" s="59"/>
      <c r="E34" s="6">
        <v>6</v>
      </c>
      <c r="F34" s="14" t="s">
        <v>11</v>
      </c>
      <c r="G34" s="57" t="s">
        <v>5</v>
      </c>
      <c r="H34" s="57" t="s">
        <v>9</v>
      </c>
      <c r="I34" s="57" t="s">
        <v>6</v>
      </c>
    </row>
    <row r="35" spans="1:9" ht="20.149999999999999" customHeight="1" x14ac:dyDescent="0.6">
      <c r="A35" s="30" t="s">
        <v>237</v>
      </c>
      <c r="B35" s="59"/>
      <c r="C35" s="59"/>
      <c r="D35" s="59"/>
      <c r="E35" s="6">
        <v>12</v>
      </c>
      <c r="F35" s="14" t="s">
        <v>11</v>
      </c>
      <c r="G35" s="57" t="s">
        <v>5</v>
      </c>
      <c r="H35" s="57" t="s">
        <v>9</v>
      </c>
      <c r="I35" s="57" t="s">
        <v>6</v>
      </c>
    </row>
    <row r="36" spans="1:9" x14ac:dyDescent="0.35">
      <c r="A36" s="4"/>
      <c r="B36" s="4"/>
    </row>
    <row r="37" spans="1:9" ht="26" x14ac:dyDescent="0.6">
      <c r="A37" s="4" t="s">
        <v>12</v>
      </c>
      <c r="B37" s="57" t="s">
        <v>13</v>
      </c>
      <c r="D37" s="57" t="s">
        <v>15</v>
      </c>
      <c r="F37" s="57" t="s">
        <v>14</v>
      </c>
      <c r="G37" s="57" t="s">
        <v>16</v>
      </c>
    </row>
  </sheetData>
  <mergeCells count="6">
    <mergeCell ref="B1:E1"/>
    <mergeCell ref="A3:D3"/>
    <mergeCell ref="A5:D5"/>
    <mergeCell ref="F5:H5"/>
    <mergeCell ref="A25:D25"/>
    <mergeCell ref="F25:H2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6">
    <tabColor rgb="FFFF0000"/>
  </sheetPr>
  <dimension ref="A1:I34"/>
  <sheetViews>
    <sheetView showGridLines="0" view="pageLayout" zoomScaleNormal="100" workbookViewId="0">
      <selection activeCell="G3" sqref="G3: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69</v>
      </c>
      <c r="C1" s="87"/>
      <c r="D1" s="87"/>
      <c r="E1" s="87"/>
      <c r="F1" s="1"/>
      <c r="G1" s="7" t="s">
        <v>4</v>
      </c>
      <c r="H1">
        <f>SUM(E6:E32)</f>
        <v>114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70</v>
      </c>
      <c r="G3" s="76" t="s">
        <v>259</v>
      </c>
      <c r="H3" s="76" t="s">
        <v>260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4" t="s">
        <v>10</v>
      </c>
      <c r="F5" s="84" t="s">
        <v>7</v>
      </c>
      <c r="G5" s="85"/>
      <c r="H5" s="85"/>
    </row>
    <row r="6" spans="1:9" s="3" customFormat="1" ht="20.149999999999999" customHeight="1" thickTop="1" x14ac:dyDescent="0.6">
      <c r="A6" t="s">
        <v>71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.149999999999999" customHeight="1" x14ac:dyDescent="0.6">
      <c r="A7" t="s">
        <v>72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49999999999999" customHeight="1" x14ac:dyDescent="0.6">
      <c r="A8" t="s">
        <v>73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49999999999999" customHeight="1" x14ac:dyDescent="0.6">
      <c r="A9" t="s">
        <v>74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49999999999999" customHeight="1" x14ac:dyDescent="0.6">
      <c r="A10" t="s">
        <v>75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49999999999999" customHeight="1" x14ac:dyDescent="0.6">
      <c r="A11" t="s">
        <v>76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49999999999999" customHeight="1" x14ac:dyDescent="0.6">
      <c r="A12" t="s">
        <v>77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49999999999999" customHeight="1" x14ac:dyDescent="0.6">
      <c r="A13" t="s">
        <v>78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49999999999999" customHeight="1" x14ac:dyDescent="0.6">
      <c r="A14" t="s">
        <v>79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49999999999999" customHeight="1" x14ac:dyDescent="0.6">
      <c r="A15" t="s">
        <v>80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49999999999999" customHeight="1" x14ac:dyDescent="0.6">
      <c r="A16" t="s">
        <v>81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49999999999999" customHeight="1" x14ac:dyDescent="0.6">
      <c r="A17" t="s">
        <v>82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49999999999999" customHeight="1" x14ac:dyDescent="0.6">
      <c r="A18" t="s">
        <v>83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49999999999999" customHeight="1" x14ac:dyDescent="0.6">
      <c r="A19" t="s">
        <v>84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49999999999999" customHeight="1" x14ac:dyDescent="0.6">
      <c r="A20" t="s">
        <v>85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49999999999999" customHeight="1" x14ac:dyDescent="0.6">
      <c r="A21" t="s">
        <v>86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49999999999999" customHeight="1" x14ac:dyDescent="0.6">
      <c r="A22" t="s">
        <v>87</v>
      </c>
      <c r="D22" s="5"/>
      <c r="E22" s="11">
        <f>18*2</f>
        <v>36</v>
      </c>
      <c r="F22" s="14"/>
      <c r="G22" s="25"/>
      <c r="H22" s="25"/>
      <c r="I22" s="25"/>
    </row>
    <row r="23" spans="1:9" ht="20.149999999999999" customHeight="1" x14ac:dyDescent="0.6">
      <c r="A23" t="s">
        <v>88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.149999999999999" customHeight="1" x14ac:dyDescent="0.6">
      <c r="A24" t="s">
        <v>89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.149999999999999" customHeight="1" x14ac:dyDescent="0.6">
      <c r="A25" t="s">
        <v>90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.149999999999999" customHeight="1" x14ac:dyDescent="0.6">
      <c r="A26" t="s">
        <v>91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.149999999999999" customHeight="1" x14ac:dyDescent="0.6">
      <c r="A27" t="s">
        <v>92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.149999999999999" customHeight="1" x14ac:dyDescent="0.35">
      <c r="A28" s="4"/>
      <c r="B28" s="4"/>
      <c r="C28" s="4"/>
      <c r="E28" s="4"/>
      <c r="F28" s="4"/>
      <c r="G28" s="4"/>
      <c r="H28" s="4"/>
    </row>
    <row r="29" spans="1:9" ht="20.149999999999999" customHeight="1" thickBot="1" x14ac:dyDescent="0.65">
      <c r="A29" s="82" t="s">
        <v>3</v>
      </c>
      <c r="B29" s="83"/>
      <c r="C29" s="82"/>
      <c r="D29" s="83"/>
      <c r="E29" s="12" t="s">
        <v>10</v>
      </c>
      <c r="F29" s="84" t="s">
        <v>7</v>
      </c>
      <c r="G29" s="85"/>
      <c r="H29" s="85"/>
      <c r="I29" s="3"/>
    </row>
    <row r="30" spans="1:9" ht="20.149999999999999" customHeight="1" thickTop="1" x14ac:dyDescent="0.6">
      <c r="A30" t="s">
        <v>93</v>
      </c>
      <c r="B30" s="5"/>
      <c r="C30" s="5"/>
      <c r="D30" s="5"/>
      <c r="E30" s="11">
        <v>18</v>
      </c>
      <c r="F30" s="15" t="s">
        <v>11</v>
      </c>
      <c r="G30" s="86" t="s">
        <v>5</v>
      </c>
      <c r="H30" s="86"/>
      <c r="I30" s="26" t="s">
        <v>6</v>
      </c>
    </row>
    <row r="31" spans="1:9" ht="20.149999999999999" customHeight="1" x14ac:dyDescent="0.6">
      <c r="A31" s="30" t="s">
        <v>94</v>
      </c>
      <c r="B31" s="5"/>
      <c r="C31" s="5"/>
      <c r="D31" s="5"/>
      <c r="E31" s="11">
        <v>18</v>
      </c>
      <c r="F31" s="14" t="s">
        <v>11</v>
      </c>
      <c r="G31" s="81" t="s">
        <v>5</v>
      </c>
      <c r="H31" s="81"/>
      <c r="I31" s="25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81" t="s">
        <v>5</v>
      </c>
      <c r="H32" s="81"/>
      <c r="I32" s="25" t="s">
        <v>6</v>
      </c>
    </row>
    <row r="33" spans="1:7" x14ac:dyDescent="0.35">
      <c r="A33" s="4"/>
      <c r="B33" s="4"/>
    </row>
    <row r="34" spans="1:7" ht="26" x14ac:dyDescent="0.6">
      <c r="A34" s="4" t="s">
        <v>12</v>
      </c>
      <c r="B34" s="25" t="s">
        <v>13</v>
      </c>
      <c r="D34" s="25" t="s">
        <v>15</v>
      </c>
      <c r="F34" s="25" t="s">
        <v>14</v>
      </c>
      <c r="G34" s="25" t="s">
        <v>16</v>
      </c>
    </row>
  </sheetData>
  <mergeCells count="9">
    <mergeCell ref="G30:H30"/>
    <mergeCell ref="G31:H31"/>
    <mergeCell ref="G32:H32"/>
    <mergeCell ref="B1:E1"/>
    <mergeCell ref="A3:D3"/>
    <mergeCell ref="A5:D5"/>
    <mergeCell ref="F5:H5"/>
    <mergeCell ref="A29:D29"/>
    <mergeCell ref="F29:H29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95</v>
      </c>
      <c r="C1" s="87"/>
      <c r="D1" s="87"/>
      <c r="E1" s="87"/>
      <c r="F1" s="1"/>
      <c r="G1" s="7" t="s">
        <v>4</v>
      </c>
      <c r="H1">
        <f>SUM(E6:E33)</f>
        <v>64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96</v>
      </c>
      <c r="G3" s="76" t="s">
        <v>259</v>
      </c>
      <c r="H3" s="76" t="s">
        <v>260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4" t="s">
        <v>10</v>
      </c>
      <c r="F5" s="84" t="s">
        <v>7</v>
      </c>
      <c r="G5" s="85"/>
      <c r="H5" s="85"/>
    </row>
    <row r="6" spans="1:9" s="3" customFormat="1" ht="19.75" customHeight="1" thickTop="1" x14ac:dyDescent="0.6">
      <c r="A6" s="98" t="s">
        <v>97</v>
      </c>
      <c r="B6" s="98"/>
      <c r="C6" s="98"/>
      <c r="D6" s="99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100" t="s">
        <v>98</v>
      </c>
      <c r="B7" s="100"/>
      <c r="C7" s="100"/>
      <c r="D7" s="101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100" t="s">
        <v>99</v>
      </c>
      <c r="B8" s="100"/>
      <c r="C8" s="100"/>
      <c r="D8" s="101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100" t="s">
        <v>100</v>
      </c>
      <c r="B9" s="100"/>
      <c r="C9" s="100"/>
      <c r="D9" s="101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100" t="s">
        <v>101</v>
      </c>
      <c r="B10" s="100"/>
      <c r="C10" s="100"/>
      <c r="D10" s="101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100" t="s">
        <v>102</v>
      </c>
      <c r="B11" s="100"/>
      <c r="C11" s="100"/>
      <c r="D11" s="101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100" t="s">
        <v>103</v>
      </c>
      <c r="B12" s="100"/>
      <c r="C12" s="100"/>
      <c r="D12" s="101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100" t="s">
        <v>104</v>
      </c>
      <c r="B13" s="100"/>
      <c r="C13" s="100"/>
      <c r="D13" s="101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100" t="s">
        <v>105</v>
      </c>
      <c r="B14" s="100"/>
      <c r="C14" s="100"/>
      <c r="D14" s="101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100" t="s">
        <v>106</v>
      </c>
      <c r="B15" s="100"/>
      <c r="C15" s="100"/>
      <c r="D15" s="101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100" t="s">
        <v>107</v>
      </c>
      <c r="B16" s="100"/>
      <c r="C16" s="100"/>
      <c r="D16" s="101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100" t="s">
        <v>108</v>
      </c>
      <c r="B17" s="100"/>
      <c r="C17" s="100"/>
      <c r="D17" s="101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100" t="s">
        <v>109</v>
      </c>
      <c r="B18" s="100"/>
      <c r="C18" s="100"/>
      <c r="D18" s="101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100" t="s">
        <v>110</v>
      </c>
      <c r="B19" s="100"/>
      <c r="C19" s="100"/>
      <c r="D19" s="101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100" t="s">
        <v>111</v>
      </c>
      <c r="B20" s="100"/>
      <c r="C20" s="100"/>
      <c r="D20" s="101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100"/>
      <c r="B21" s="100"/>
      <c r="C21" s="100"/>
      <c r="D21" s="101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82" t="s">
        <v>3</v>
      </c>
      <c r="B27" s="83"/>
      <c r="C27" s="82"/>
      <c r="D27" s="83"/>
      <c r="E27" s="12" t="s">
        <v>10</v>
      </c>
      <c r="F27" s="84" t="s">
        <v>7</v>
      </c>
      <c r="G27" s="85"/>
      <c r="H27" s="85"/>
      <c r="I27" s="3"/>
    </row>
    <row r="28" spans="1:9" ht="19.75" customHeight="1" thickTop="1" x14ac:dyDescent="0.6">
      <c r="A28" s="68" t="s">
        <v>36</v>
      </c>
      <c r="B28" s="31"/>
      <c r="C28" s="31"/>
      <c r="D28" s="69"/>
      <c r="E28" s="32">
        <v>4</v>
      </c>
      <c r="F28" s="15" t="s">
        <v>11</v>
      </c>
      <c r="G28" s="86" t="s">
        <v>5</v>
      </c>
      <c r="H28" s="86"/>
      <c r="I28" s="26" t="s">
        <v>6</v>
      </c>
    </row>
    <row r="29" spans="1:9" ht="19.75" customHeight="1" x14ac:dyDescent="0.6">
      <c r="A29" s="32" t="s">
        <v>37</v>
      </c>
      <c r="B29" s="32"/>
      <c r="C29" s="32"/>
      <c r="D29" s="70"/>
      <c r="E29" s="32">
        <v>8</v>
      </c>
      <c r="F29" s="14" t="s">
        <v>11</v>
      </c>
      <c r="G29" s="81" t="s">
        <v>5</v>
      </c>
      <c r="H29" s="81"/>
      <c r="I29" s="25" t="s">
        <v>6</v>
      </c>
    </row>
    <row r="30" spans="1:9" ht="19.75" customHeight="1" x14ac:dyDescent="0.6">
      <c r="A30" s="32" t="s">
        <v>112</v>
      </c>
      <c r="B30" s="32"/>
      <c r="C30" s="32"/>
      <c r="D30" s="70"/>
      <c r="E30" s="32">
        <v>4</v>
      </c>
      <c r="F30" s="14" t="s">
        <v>11</v>
      </c>
      <c r="G30" s="81" t="s">
        <v>5</v>
      </c>
      <c r="H30" s="81"/>
      <c r="I30" s="25" t="s">
        <v>6</v>
      </c>
    </row>
    <row r="31" spans="1:9" ht="19.75" customHeight="1" x14ac:dyDescent="0.6">
      <c r="A31" s="32" t="s">
        <v>113</v>
      </c>
      <c r="B31" s="32"/>
      <c r="C31" s="32"/>
      <c r="D31" s="70"/>
      <c r="E31" s="32">
        <v>8</v>
      </c>
      <c r="F31" s="14" t="s">
        <v>11</v>
      </c>
      <c r="G31" s="81" t="s">
        <v>5</v>
      </c>
      <c r="H31" s="81"/>
      <c r="I31" s="25" t="s">
        <v>6</v>
      </c>
    </row>
    <row r="32" spans="1:9" ht="19.75" customHeight="1" x14ac:dyDescent="0.6">
      <c r="A32" s="32" t="s">
        <v>39</v>
      </c>
      <c r="B32" s="32"/>
      <c r="C32" s="32"/>
      <c r="D32" s="70"/>
      <c r="E32" s="32">
        <v>8</v>
      </c>
      <c r="F32" s="14" t="s">
        <v>11</v>
      </c>
      <c r="G32" s="81" t="s">
        <v>5</v>
      </c>
      <c r="H32" s="81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81" t="s">
        <v>5</v>
      </c>
      <c r="H33" s="81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28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  <mergeCell ref="A6:D6"/>
    <mergeCell ref="A7:D7"/>
    <mergeCell ref="A8:D8"/>
    <mergeCell ref="A9:D9"/>
    <mergeCell ref="A10:D10"/>
    <mergeCell ref="A11:D11"/>
    <mergeCell ref="A12:D12"/>
    <mergeCell ref="A13:D13"/>
    <mergeCell ref="A19:D19"/>
    <mergeCell ref="A20:D20"/>
    <mergeCell ref="A21:D21"/>
    <mergeCell ref="A14:D14"/>
    <mergeCell ref="A15:D15"/>
    <mergeCell ref="A16:D16"/>
    <mergeCell ref="A17:D17"/>
    <mergeCell ref="A18:D1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179687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114</v>
      </c>
      <c r="C1" s="87"/>
      <c r="D1" s="87"/>
      <c r="E1" s="87"/>
      <c r="F1" s="1"/>
      <c r="G1" s="7" t="s">
        <v>4</v>
      </c>
      <c r="H1">
        <f>SUM(E6:E33)</f>
        <v>33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96</v>
      </c>
      <c r="G3" s="76" t="s">
        <v>259</v>
      </c>
      <c r="H3" s="76" t="s">
        <v>260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8" t="s">
        <v>10</v>
      </c>
      <c r="F5" s="84" t="s">
        <v>7</v>
      </c>
      <c r="G5" s="85"/>
      <c r="H5" s="85"/>
    </row>
    <row r="6" spans="1:9" s="3" customFormat="1" ht="19.75" customHeight="1" thickTop="1" x14ac:dyDescent="0.6">
      <c r="A6" s="31" t="s">
        <v>115</v>
      </c>
      <c r="B6" s="31"/>
      <c r="C6" s="31"/>
      <c r="D6" s="31"/>
      <c r="E6" s="72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68" t="s">
        <v>116</v>
      </c>
      <c r="B7" s="68"/>
      <c r="C7" s="68"/>
      <c r="D7" s="68"/>
      <c r="E7" s="73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68" t="s">
        <v>117</v>
      </c>
      <c r="B8" s="68"/>
      <c r="C8" s="68"/>
      <c r="D8" s="68"/>
      <c r="E8" s="74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68" t="s">
        <v>118</v>
      </c>
      <c r="B9" s="68"/>
      <c r="C9" s="68"/>
      <c r="D9" s="68"/>
      <c r="E9" s="74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68" t="s">
        <v>119</v>
      </c>
      <c r="B10" s="68"/>
      <c r="C10" s="68"/>
      <c r="D10" s="68"/>
      <c r="E10" s="74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68" t="s">
        <v>120</v>
      </c>
      <c r="B11" s="68"/>
      <c r="C11" s="68"/>
      <c r="D11" s="68"/>
      <c r="E11" s="74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68" t="s">
        <v>121</v>
      </c>
      <c r="B12" s="68"/>
      <c r="C12" s="68"/>
      <c r="D12" s="68"/>
      <c r="E12" s="74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68" t="s">
        <v>122</v>
      </c>
      <c r="B13" s="68"/>
      <c r="C13" s="68"/>
      <c r="D13" s="68"/>
      <c r="E13" s="74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68" t="s">
        <v>182</v>
      </c>
      <c r="B14" s="68"/>
      <c r="C14" s="68"/>
      <c r="D14" s="68"/>
      <c r="E14" s="74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68" t="s">
        <v>183</v>
      </c>
      <c r="B15" s="68"/>
      <c r="C15" s="68"/>
      <c r="D15" s="68"/>
      <c r="E15" s="74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82" t="s">
        <v>3</v>
      </c>
      <c r="B27" s="83"/>
      <c r="C27" s="82"/>
      <c r="D27" s="83"/>
      <c r="E27" s="12" t="s">
        <v>10</v>
      </c>
      <c r="F27" s="84" t="s">
        <v>7</v>
      </c>
      <c r="G27" s="85"/>
      <c r="H27" s="85"/>
      <c r="I27" s="3"/>
    </row>
    <row r="28" spans="1:9" ht="19.75" customHeight="1" thickTop="1" x14ac:dyDescent="0.6">
      <c r="A28" s="31" t="s">
        <v>20</v>
      </c>
      <c r="B28" s="31"/>
      <c r="C28" s="31"/>
      <c r="D28" s="69"/>
      <c r="E28" s="32">
        <v>8</v>
      </c>
      <c r="F28" s="15" t="s">
        <v>11</v>
      </c>
      <c r="G28" s="86" t="s">
        <v>5</v>
      </c>
      <c r="H28" s="86"/>
      <c r="I28" s="29" t="s">
        <v>6</v>
      </c>
    </row>
    <row r="29" spans="1:9" ht="19.75" customHeight="1" x14ac:dyDescent="0.6">
      <c r="A29" s="32" t="s">
        <v>21</v>
      </c>
      <c r="B29" s="32"/>
      <c r="C29" s="32"/>
      <c r="D29" s="70"/>
      <c r="E29" s="32">
        <v>8</v>
      </c>
      <c r="F29" s="14" t="s">
        <v>11</v>
      </c>
      <c r="G29" s="81" t="s">
        <v>5</v>
      </c>
      <c r="H29" s="81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81" t="s">
        <v>5</v>
      </c>
      <c r="H30" s="81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81" t="s">
        <v>5</v>
      </c>
      <c r="H31" s="81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81" t="s">
        <v>5</v>
      </c>
      <c r="H32" s="81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81" t="s">
        <v>5</v>
      </c>
      <c r="H33" s="81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4">
    <tabColor rgb="FF0070C0"/>
  </sheetPr>
  <dimension ref="A1:I41"/>
  <sheetViews>
    <sheetView showGridLines="0" view="pageLayout" zoomScale="90" zoomScaleNormal="100" zoomScalePageLayoutView="90" workbookViewId="0">
      <selection activeCell="G3" sqref="G3: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212</v>
      </c>
      <c r="C1" s="87"/>
      <c r="D1" s="87"/>
      <c r="E1" s="87"/>
      <c r="F1" s="56"/>
      <c r="G1" s="7" t="s">
        <v>4</v>
      </c>
      <c r="H1">
        <f>SUM(E6:E39)</f>
        <v>110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213</v>
      </c>
      <c r="G3" s="76" t="s">
        <v>259</v>
      </c>
      <c r="H3" s="76" t="s">
        <v>260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53" t="s">
        <v>10</v>
      </c>
      <c r="F5" s="84" t="s">
        <v>7</v>
      </c>
      <c r="G5" s="85"/>
      <c r="H5" s="85"/>
    </row>
    <row r="6" spans="1:9" s="3" customFormat="1" ht="20.149999999999999" customHeight="1" thickTop="1" x14ac:dyDescent="0.6">
      <c r="A6" s="114" t="s">
        <v>255</v>
      </c>
      <c r="B6" s="114"/>
      <c r="C6" s="114"/>
      <c r="D6" s="115"/>
      <c r="E6" s="62">
        <v>2</v>
      </c>
      <c r="F6" s="15" t="s">
        <v>11</v>
      </c>
      <c r="G6" s="55" t="s">
        <v>5</v>
      </c>
      <c r="H6" s="55" t="s">
        <v>9</v>
      </c>
      <c r="I6" s="55" t="s">
        <v>6</v>
      </c>
    </row>
    <row r="7" spans="1:9" ht="20.149999999999999" customHeight="1" x14ac:dyDescent="0.6">
      <c r="A7" s="112" t="s">
        <v>256</v>
      </c>
      <c r="B7" s="112"/>
      <c r="C7" s="112"/>
      <c r="D7" s="113"/>
      <c r="E7" s="61">
        <v>2</v>
      </c>
      <c r="F7" s="14" t="s">
        <v>11</v>
      </c>
      <c r="G7" s="54" t="s">
        <v>5</v>
      </c>
      <c r="H7" s="54" t="s">
        <v>9</v>
      </c>
      <c r="I7" s="54" t="s">
        <v>6</v>
      </c>
    </row>
    <row r="8" spans="1:9" ht="20.149999999999999" customHeight="1" x14ac:dyDescent="0.6">
      <c r="A8" s="112" t="s">
        <v>214</v>
      </c>
      <c r="B8" s="112"/>
      <c r="C8" s="112"/>
      <c r="D8" s="113"/>
      <c r="E8" s="61">
        <v>1</v>
      </c>
      <c r="F8" s="14" t="s">
        <v>11</v>
      </c>
      <c r="G8" s="54" t="s">
        <v>5</v>
      </c>
      <c r="H8" s="54" t="s">
        <v>9</v>
      </c>
      <c r="I8" s="54" t="s">
        <v>6</v>
      </c>
    </row>
    <row r="9" spans="1:9" ht="20.149999999999999" customHeight="1" x14ac:dyDescent="0.6">
      <c r="A9" s="112" t="s">
        <v>215</v>
      </c>
      <c r="B9" s="112"/>
      <c r="C9" s="112"/>
      <c r="D9" s="113"/>
      <c r="E9" s="61">
        <v>1</v>
      </c>
      <c r="F9" s="14" t="s">
        <v>11</v>
      </c>
      <c r="G9" s="54" t="s">
        <v>5</v>
      </c>
      <c r="H9" s="54" t="s">
        <v>9</v>
      </c>
      <c r="I9" s="54" t="s">
        <v>6</v>
      </c>
    </row>
    <row r="10" spans="1:9" ht="20.149999999999999" customHeight="1" x14ac:dyDescent="0.6">
      <c r="A10" s="116" t="s">
        <v>216</v>
      </c>
      <c r="B10" s="116"/>
      <c r="C10" s="116"/>
      <c r="D10" s="116"/>
      <c r="E10" s="61">
        <v>1</v>
      </c>
      <c r="F10" s="14" t="s">
        <v>11</v>
      </c>
      <c r="G10" s="54" t="s">
        <v>5</v>
      </c>
      <c r="H10" s="54" t="s">
        <v>9</v>
      </c>
      <c r="I10" s="54" t="s">
        <v>6</v>
      </c>
    </row>
    <row r="11" spans="1:9" ht="20.149999999999999" customHeight="1" x14ac:dyDescent="0.6">
      <c r="A11" s="112" t="s">
        <v>217</v>
      </c>
      <c r="B11" s="112"/>
      <c r="C11" s="112"/>
      <c r="D11" s="113"/>
      <c r="E11" s="61">
        <v>1</v>
      </c>
      <c r="F11" s="14" t="s">
        <v>11</v>
      </c>
      <c r="G11" s="54" t="s">
        <v>5</v>
      </c>
      <c r="H11" s="54" t="s">
        <v>9</v>
      </c>
      <c r="I11" s="54" t="s">
        <v>6</v>
      </c>
    </row>
    <row r="12" spans="1:9" ht="20.149999999999999" customHeight="1" x14ac:dyDescent="0.6">
      <c r="A12" s="112" t="s">
        <v>218</v>
      </c>
      <c r="B12" s="112"/>
      <c r="C12" s="112"/>
      <c r="D12" s="113"/>
      <c r="E12" s="61">
        <v>1</v>
      </c>
      <c r="F12" s="14" t="s">
        <v>11</v>
      </c>
      <c r="G12" s="54" t="s">
        <v>5</v>
      </c>
      <c r="H12" s="54" t="s">
        <v>9</v>
      </c>
      <c r="I12" s="54" t="s">
        <v>6</v>
      </c>
    </row>
    <row r="13" spans="1:9" ht="20.149999999999999" customHeight="1" x14ac:dyDescent="0.6">
      <c r="A13" s="112" t="s">
        <v>219</v>
      </c>
      <c r="B13" s="112"/>
      <c r="C13" s="112"/>
      <c r="D13" s="113"/>
      <c r="E13" s="61">
        <v>1</v>
      </c>
      <c r="F13" s="14" t="s">
        <v>11</v>
      </c>
      <c r="G13" s="54" t="s">
        <v>5</v>
      </c>
      <c r="H13" s="54" t="s">
        <v>9</v>
      </c>
      <c r="I13" s="54" t="s">
        <v>6</v>
      </c>
    </row>
    <row r="14" spans="1:9" ht="20.149999999999999" customHeight="1" x14ac:dyDescent="0.6">
      <c r="A14" s="112" t="s">
        <v>220</v>
      </c>
      <c r="B14" s="112"/>
      <c r="C14" s="112"/>
      <c r="D14" s="113"/>
      <c r="E14" s="61">
        <v>1</v>
      </c>
      <c r="F14" s="14" t="s">
        <v>11</v>
      </c>
      <c r="G14" s="54" t="s">
        <v>5</v>
      </c>
      <c r="H14" s="54" t="s">
        <v>9</v>
      </c>
      <c r="I14" s="54" t="s">
        <v>6</v>
      </c>
    </row>
    <row r="15" spans="1:9" ht="20.149999999999999" customHeight="1" x14ac:dyDescent="0.6">
      <c r="A15" s="118" t="s">
        <v>221</v>
      </c>
      <c r="B15" s="118"/>
      <c r="C15" s="118"/>
      <c r="D15" s="119"/>
      <c r="E15" s="61">
        <v>1</v>
      </c>
      <c r="F15" s="14" t="s">
        <v>11</v>
      </c>
      <c r="G15" s="54" t="s">
        <v>5</v>
      </c>
      <c r="H15" s="54" t="s">
        <v>9</v>
      </c>
      <c r="I15" s="54" t="s">
        <v>6</v>
      </c>
    </row>
    <row r="16" spans="1:9" ht="20.149999999999999" customHeight="1" x14ac:dyDescent="0.6">
      <c r="A16" s="118" t="s">
        <v>222</v>
      </c>
      <c r="B16" s="118"/>
      <c r="C16" s="118"/>
      <c r="D16" s="119"/>
      <c r="E16" s="61">
        <v>1</v>
      </c>
      <c r="F16" s="14" t="s">
        <v>11</v>
      </c>
      <c r="G16" s="54" t="s">
        <v>5</v>
      </c>
      <c r="H16" s="54" t="s">
        <v>9</v>
      </c>
      <c r="I16" s="54" t="s">
        <v>6</v>
      </c>
    </row>
    <row r="17" spans="1:9" ht="20.149999999999999" customHeight="1" x14ac:dyDescent="0.6">
      <c r="A17" s="116" t="s">
        <v>238</v>
      </c>
      <c r="B17" s="116"/>
      <c r="C17" s="116"/>
      <c r="D17" s="117"/>
      <c r="E17" s="61">
        <v>4</v>
      </c>
      <c r="F17" s="14" t="s">
        <v>11</v>
      </c>
      <c r="G17" s="54" t="s">
        <v>5</v>
      </c>
      <c r="H17" s="54" t="s">
        <v>9</v>
      </c>
      <c r="I17" s="54" t="s">
        <v>6</v>
      </c>
    </row>
    <row r="18" spans="1:9" ht="20.149999999999999" customHeight="1" x14ac:dyDescent="0.6">
      <c r="A18" s="118" t="s">
        <v>223</v>
      </c>
      <c r="B18" s="118"/>
      <c r="C18" s="118"/>
      <c r="D18" s="119"/>
      <c r="E18" s="61">
        <v>2</v>
      </c>
      <c r="F18" s="14" t="s">
        <v>11</v>
      </c>
      <c r="G18" s="54" t="s">
        <v>5</v>
      </c>
      <c r="H18" s="54" t="s">
        <v>9</v>
      </c>
      <c r="I18" s="54" t="s">
        <v>6</v>
      </c>
    </row>
    <row r="19" spans="1:9" ht="20.149999999999999" customHeight="1" x14ac:dyDescent="0.6">
      <c r="A19" s="118" t="s">
        <v>224</v>
      </c>
      <c r="B19" s="118"/>
      <c r="C19" s="118"/>
      <c r="D19" s="119"/>
      <c r="E19" s="61">
        <v>1</v>
      </c>
      <c r="F19" s="14" t="s">
        <v>11</v>
      </c>
      <c r="G19" s="54" t="s">
        <v>5</v>
      </c>
      <c r="H19" s="54" t="s">
        <v>9</v>
      </c>
      <c r="I19" s="54" t="s">
        <v>6</v>
      </c>
    </row>
    <row r="20" spans="1:9" ht="20.149999999999999" customHeight="1" x14ac:dyDescent="0.6">
      <c r="A20" s="118" t="s">
        <v>239</v>
      </c>
      <c r="B20" s="118"/>
      <c r="C20" s="118"/>
      <c r="D20" s="119"/>
      <c r="E20" s="61">
        <v>2</v>
      </c>
      <c r="F20" s="14" t="s">
        <v>11</v>
      </c>
      <c r="G20" s="54" t="s">
        <v>5</v>
      </c>
      <c r="H20" s="54" t="s">
        <v>9</v>
      </c>
      <c r="I20" s="54" t="s">
        <v>6</v>
      </c>
    </row>
    <row r="21" spans="1:9" ht="20.149999999999999" customHeight="1" x14ac:dyDescent="0.6">
      <c r="A21" s="118" t="s">
        <v>240</v>
      </c>
      <c r="B21" s="118"/>
      <c r="C21" s="118"/>
      <c r="D21" s="119"/>
      <c r="E21" s="61">
        <v>2</v>
      </c>
      <c r="F21" s="14" t="s">
        <v>11</v>
      </c>
      <c r="G21" s="54" t="s">
        <v>5</v>
      </c>
      <c r="H21" s="54" t="s">
        <v>9</v>
      </c>
      <c r="I21" s="54" t="s">
        <v>6</v>
      </c>
    </row>
    <row r="22" spans="1:9" ht="20.149999999999999" customHeight="1" x14ac:dyDescent="0.6">
      <c r="A22" s="118" t="s">
        <v>241</v>
      </c>
      <c r="B22" s="118"/>
      <c r="C22" s="118"/>
      <c r="D22" s="119"/>
      <c r="E22" s="63">
        <v>2</v>
      </c>
      <c r="F22" s="14" t="s">
        <v>11</v>
      </c>
      <c r="G22" s="54" t="s">
        <v>5</v>
      </c>
      <c r="H22" s="54" t="s">
        <v>9</v>
      </c>
      <c r="I22" s="54" t="s">
        <v>6</v>
      </c>
    </row>
    <row r="23" spans="1:9" ht="20.149999999999999" customHeight="1" x14ac:dyDescent="0.6">
      <c r="A23" s="118" t="s">
        <v>242</v>
      </c>
      <c r="B23" s="118"/>
      <c r="C23" s="118"/>
      <c r="D23" s="119"/>
      <c r="E23" s="61">
        <v>4</v>
      </c>
      <c r="F23" s="14" t="s">
        <v>11</v>
      </c>
      <c r="G23" s="54" t="s">
        <v>5</v>
      </c>
      <c r="H23" s="54" t="s">
        <v>9</v>
      </c>
      <c r="I23" s="54" t="s">
        <v>6</v>
      </c>
    </row>
    <row r="24" spans="1:9" ht="20.149999999999999" customHeight="1" x14ac:dyDescent="0.6">
      <c r="A24" s="118" t="s">
        <v>243</v>
      </c>
      <c r="B24" s="118"/>
      <c r="C24" s="118"/>
      <c r="D24" s="119"/>
      <c r="E24" s="61">
        <v>4</v>
      </c>
      <c r="F24" s="14" t="s">
        <v>11</v>
      </c>
      <c r="G24" s="54" t="s">
        <v>5</v>
      </c>
      <c r="H24" s="54" t="s">
        <v>9</v>
      </c>
      <c r="I24" s="54" t="s">
        <v>6</v>
      </c>
    </row>
    <row r="25" spans="1:9" ht="20.149999999999999" customHeight="1" x14ac:dyDescent="0.35">
      <c r="A25" s="4"/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82" t="s">
        <v>3</v>
      </c>
      <c r="B26" s="83"/>
      <c r="C26" s="82"/>
      <c r="D26" s="83"/>
      <c r="E26" s="12" t="s">
        <v>10</v>
      </c>
      <c r="F26" s="84" t="s">
        <v>7</v>
      </c>
      <c r="G26" s="85"/>
      <c r="H26" s="85"/>
      <c r="I26" s="3"/>
    </row>
    <row r="27" spans="1:9" ht="20.149999999999999" customHeight="1" thickTop="1" x14ac:dyDescent="0.6">
      <c r="A27" s="120" t="s">
        <v>246</v>
      </c>
      <c r="B27" s="120"/>
      <c r="C27" s="120"/>
      <c r="D27" s="121"/>
      <c r="E27" s="52">
        <v>6</v>
      </c>
      <c r="F27" s="15" t="s">
        <v>11</v>
      </c>
      <c r="G27" s="86" t="s">
        <v>5</v>
      </c>
      <c r="H27" s="86"/>
      <c r="I27" s="55" t="s">
        <v>6</v>
      </c>
    </row>
    <row r="28" spans="1:9" ht="20.149999999999999" customHeight="1" x14ac:dyDescent="0.6">
      <c r="A28" s="122" t="s">
        <v>244</v>
      </c>
      <c r="B28" s="122"/>
      <c r="C28" s="122"/>
      <c r="D28" s="123"/>
      <c r="E28" s="52">
        <v>6</v>
      </c>
      <c r="F28" s="14" t="s">
        <v>11</v>
      </c>
      <c r="G28" s="81" t="s">
        <v>5</v>
      </c>
      <c r="H28" s="81"/>
      <c r="I28" s="54" t="s">
        <v>6</v>
      </c>
    </row>
    <row r="29" spans="1:9" ht="20.149999999999999" customHeight="1" x14ac:dyDescent="0.6">
      <c r="A29" s="122" t="s">
        <v>245</v>
      </c>
      <c r="B29" s="122"/>
      <c r="C29" s="122"/>
      <c r="D29" s="123"/>
      <c r="E29" s="52">
        <v>12</v>
      </c>
      <c r="F29" s="14" t="s">
        <v>11</v>
      </c>
      <c r="G29" s="81" t="s">
        <v>5</v>
      </c>
      <c r="H29" s="81"/>
      <c r="I29" s="54" t="s">
        <v>6</v>
      </c>
    </row>
    <row r="30" spans="1:9" ht="20.149999999999999" customHeight="1" x14ac:dyDescent="0.6">
      <c r="A30" s="122" t="s">
        <v>247</v>
      </c>
      <c r="B30" s="122"/>
      <c r="C30" s="122"/>
      <c r="D30" s="123"/>
      <c r="E30" s="52">
        <v>2</v>
      </c>
      <c r="F30" s="14" t="s">
        <v>11</v>
      </c>
      <c r="G30" s="81" t="s">
        <v>5</v>
      </c>
      <c r="H30" s="81"/>
      <c r="I30" s="54" t="s">
        <v>6</v>
      </c>
    </row>
    <row r="31" spans="1:9" ht="20.149999999999999" customHeight="1" x14ac:dyDescent="0.6">
      <c r="A31" s="122" t="s">
        <v>249</v>
      </c>
      <c r="B31" s="122"/>
      <c r="C31" s="122"/>
      <c r="D31" s="123"/>
      <c r="E31" s="52">
        <v>6</v>
      </c>
      <c r="F31" s="14" t="s">
        <v>11</v>
      </c>
      <c r="G31" s="81" t="s">
        <v>5</v>
      </c>
      <c r="H31" s="81"/>
      <c r="I31" s="54" t="s">
        <v>6</v>
      </c>
    </row>
    <row r="32" spans="1:9" ht="20.149999999999999" customHeight="1" x14ac:dyDescent="0.6">
      <c r="A32" s="122" t="s">
        <v>248</v>
      </c>
      <c r="B32" s="122"/>
      <c r="C32" s="122"/>
      <c r="D32" s="123"/>
      <c r="E32" s="52">
        <v>14</v>
      </c>
      <c r="F32" s="14" t="s">
        <v>11</v>
      </c>
      <c r="G32" s="81" t="s">
        <v>5</v>
      </c>
      <c r="H32" s="81"/>
      <c r="I32" s="54" t="s">
        <v>6</v>
      </c>
    </row>
    <row r="33" spans="1:9" ht="20.149999999999999" customHeight="1" x14ac:dyDescent="0.6">
      <c r="A33" s="122" t="s">
        <v>250</v>
      </c>
      <c r="B33" s="125"/>
      <c r="C33" s="125"/>
      <c r="D33" s="126"/>
      <c r="E33" s="52">
        <v>6</v>
      </c>
      <c r="F33" s="14" t="s">
        <v>11</v>
      </c>
      <c r="G33" s="81" t="s">
        <v>5</v>
      </c>
      <c r="H33" s="81"/>
      <c r="I33" s="54" t="s">
        <v>6</v>
      </c>
    </row>
    <row r="34" spans="1:9" ht="20.149999999999999" customHeight="1" x14ac:dyDescent="0.6">
      <c r="A34" s="124" t="s">
        <v>251</v>
      </c>
      <c r="B34" s="125"/>
      <c r="C34" s="125"/>
      <c r="D34" s="126"/>
      <c r="E34" s="52">
        <v>4</v>
      </c>
      <c r="F34" s="14" t="s">
        <v>11</v>
      </c>
      <c r="G34" s="81" t="s">
        <v>5</v>
      </c>
      <c r="H34" s="81"/>
      <c r="I34" s="54" t="s">
        <v>6</v>
      </c>
    </row>
    <row r="35" spans="1:9" ht="20.149999999999999" customHeight="1" x14ac:dyDescent="0.6">
      <c r="A35" s="124" t="s">
        <v>252</v>
      </c>
      <c r="B35" s="125"/>
      <c r="C35" s="125"/>
      <c r="D35" s="126"/>
      <c r="E35" s="52">
        <v>4</v>
      </c>
      <c r="F35" s="14" t="s">
        <v>11</v>
      </c>
      <c r="G35" s="81" t="s">
        <v>5</v>
      </c>
      <c r="H35" s="81"/>
      <c r="I35" s="64" t="s">
        <v>6</v>
      </c>
    </row>
    <row r="36" spans="1:9" ht="20.149999999999999" customHeight="1" x14ac:dyDescent="0.6">
      <c r="A36" s="124" t="s">
        <v>145</v>
      </c>
      <c r="B36" s="125"/>
      <c r="C36" s="125"/>
      <c r="D36" s="126"/>
      <c r="E36" s="52">
        <v>8</v>
      </c>
      <c r="F36" s="14" t="s">
        <v>11</v>
      </c>
      <c r="G36" s="81" t="s">
        <v>5</v>
      </c>
      <c r="H36" s="81"/>
      <c r="I36" s="64" t="s">
        <v>6</v>
      </c>
    </row>
    <row r="37" spans="1:9" ht="20.149999999999999" customHeight="1" x14ac:dyDescent="0.6">
      <c r="A37" s="124" t="s">
        <v>253</v>
      </c>
      <c r="B37" s="125"/>
      <c r="C37" s="125"/>
      <c r="D37" s="126"/>
      <c r="E37" s="52">
        <v>2</v>
      </c>
      <c r="F37" s="14" t="s">
        <v>11</v>
      </c>
      <c r="G37" s="81" t="s">
        <v>5</v>
      </c>
      <c r="H37" s="81"/>
      <c r="I37" s="64" t="s">
        <v>6</v>
      </c>
    </row>
    <row r="38" spans="1:9" ht="20.149999999999999" customHeight="1" x14ac:dyDescent="0.6">
      <c r="A38" s="124" t="s">
        <v>196</v>
      </c>
      <c r="B38" s="125"/>
      <c r="C38" s="125"/>
      <c r="D38" s="126"/>
      <c r="E38" s="52">
        <v>4</v>
      </c>
      <c r="F38" s="14" t="s">
        <v>11</v>
      </c>
      <c r="G38" s="81" t="s">
        <v>5</v>
      </c>
      <c r="H38" s="81"/>
      <c r="I38" s="64" t="s">
        <v>6</v>
      </c>
    </row>
    <row r="39" spans="1:9" ht="20.149999999999999" customHeight="1" x14ac:dyDescent="0.6">
      <c r="A39" s="124" t="s">
        <v>254</v>
      </c>
      <c r="B39" s="125"/>
      <c r="C39" s="125"/>
      <c r="D39" s="126"/>
      <c r="E39" s="52">
        <v>2</v>
      </c>
      <c r="F39" s="14" t="s">
        <v>11</v>
      </c>
      <c r="G39" s="81" t="s">
        <v>5</v>
      </c>
      <c r="H39" s="81"/>
      <c r="I39" s="64" t="s">
        <v>6</v>
      </c>
    </row>
    <row r="40" spans="1:9" ht="20.149999999999999" customHeight="1" x14ac:dyDescent="0.6">
      <c r="A40" s="65"/>
      <c r="B40" s="66"/>
      <c r="C40" s="66"/>
      <c r="D40" s="66"/>
      <c r="E40" s="67"/>
      <c r="F40" s="64"/>
      <c r="G40" s="64"/>
      <c r="H40" s="64"/>
      <c r="I40" s="64"/>
    </row>
    <row r="41" spans="1:9" ht="26" x14ac:dyDescent="0.6">
      <c r="A41" s="4" t="s">
        <v>12</v>
      </c>
      <c r="B41" s="54" t="s">
        <v>13</v>
      </c>
      <c r="D41" s="54" t="s">
        <v>15</v>
      </c>
      <c r="F41" s="54" t="s">
        <v>14</v>
      </c>
      <c r="G41" s="54" t="s">
        <v>16</v>
      </c>
    </row>
  </sheetData>
  <mergeCells count="51">
    <mergeCell ref="A31:D31"/>
    <mergeCell ref="G31:H31"/>
    <mergeCell ref="A36:D36"/>
    <mergeCell ref="G36:H36"/>
    <mergeCell ref="A39:D39"/>
    <mergeCell ref="G39:H39"/>
    <mergeCell ref="A37:D37"/>
    <mergeCell ref="G37:H37"/>
    <mergeCell ref="A38:D38"/>
    <mergeCell ref="G38:H38"/>
    <mergeCell ref="A28:D28"/>
    <mergeCell ref="G28:H28"/>
    <mergeCell ref="A35:D35"/>
    <mergeCell ref="G35:H35"/>
    <mergeCell ref="A15:D15"/>
    <mergeCell ref="A16:D16"/>
    <mergeCell ref="A32:D32"/>
    <mergeCell ref="G32:H32"/>
    <mergeCell ref="A33:D33"/>
    <mergeCell ref="G33:H33"/>
    <mergeCell ref="A34:D34"/>
    <mergeCell ref="G34:H34"/>
    <mergeCell ref="A29:D29"/>
    <mergeCell ref="G29:H29"/>
    <mergeCell ref="A30:D30"/>
    <mergeCell ref="G30:H30"/>
    <mergeCell ref="A17:D17"/>
    <mergeCell ref="A18:D18"/>
    <mergeCell ref="A26:D26"/>
    <mergeCell ref="F26:H26"/>
    <mergeCell ref="A27:D27"/>
    <mergeCell ref="G27:H27"/>
    <mergeCell ref="A24:D24"/>
    <mergeCell ref="A19:D19"/>
    <mergeCell ref="A20:D20"/>
    <mergeCell ref="A21:D21"/>
    <mergeCell ref="A22:D22"/>
    <mergeCell ref="A23:D23"/>
    <mergeCell ref="B1:E1"/>
    <mergeCell ref="A3:D3"/>
    <mergeCell ref="A5:D5"/>
    <mergeCell ref="A8:D8"/>
    <mergeCell ref="A9:D9"/>
    <mergeCell ref="A12:D12"/>
    <mergeCell ref="A13:D13"/>
    <mergeCell ref="A14:D14"/>
    <mergeCell ref="F5:H5"/>
    <mergeCell ref="A6:D6"/>
    <mergeCell ref="A7:D7"/>
    <mergeCell ref="A11:D11"/>
    <mergeCell ref="A10:D1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9">
    <tabColor rgb="FF0070C0"/>
  </sheetPr>
  <dimension ref="A1:I33"/>
  <sheetViews>
    <sheetView showGridLines="0" view="pageLayout" zoomScaleNormal="100" workbookViewId="0">
      <selection activeCell="G3" sqref="G3: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123</v>
      </c>
      <c r="B1" s="127" t="s">
        <v>124</v>
      </c>
      <c r="C1" s="127"/>
      <c r="D1" s="127"/>
      <c r="E1" s="127"/>
      <c r="F1" s="1"/>
      <c r="G1" s="7" t="s">
        <v>4</v>
      </c>
      <c r="H1">
        <f>SUM(E6:E30)</f>
        <v>52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t="s">
        <v>125</v>
      </c>
      <c r="G3" s="76" t="s">
        <v>259</v>
      </c>
      <c r="H3" s="76" t="s">
        <v>260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8" t="s">
        <v>10</v>
      </c>
      <c r="F5" s="84" t="s">
        <v>7</v>
      </c>
      <c r="G5" s="85"/>
      <c r="H5" s="85"/>
    </row>
    <row r="6" spans="1:9" s="3" customFormat="1" ht="19.75" customHeight="1" thickTop="1" x14ac:dyDescent="0.6">
      <c r="A6" s="31" t="s">
        <v>126</v>
      </c>
      <c r="B6" s="31"/>
      <c r="C6" s="31"/>
      <c r="D6" s="31"/>
      <c r="E6" s="72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68" t="s">
        <v>127</v>
      </c>
      <c r="B7" s="68"/>
      <c r="C7" s="68"/>
      <c r="D7" s="68"/>
      <c r="E7" s="73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68" t="s">
        <v>128</v>
      </c>
      <c r="B8" s="68"/>
      <c r="C8" s="68"/>
      <c r="D8" s="68"/>
      <c r="E8" s="74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68" t="s">
        <v>129</v>
      </c>
      <c r="B9" s="68"/>
      <c r="C9" s="68"/>
      <c r="D9" s="68"/>
      <c r="E9" s="74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68" t="s">
        <v>130</v>
      </c>
      <c r="B10" s="68"/>
      <c r="C10" s="68"/>
      <c r="D10" s="68"/>
      <c r="E10" s="74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68" t="s">
        <v>131</v>
      </c>
      <c r="B11" s="68"/>
      <c r="C11" s="68"/>
      <c r="D11" s="68"/>
      <c r="E11" s="74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68" t="s">
        <v>132</v>
      </c>
      <c r="B12" s="68"/>
      <c r="C12" s="68"/>
      <c r="D12" s="68"/>
      <c r="E12" s="74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68" t="s">
        <v>133</v>
      </c>
      <c r="B13" s="68"/>
      <c r="C13" s="68"/>
      <c r="D13" s="68"/>
      <c r="E13" s="74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68" t="s">
        <v>134</v>
      </c>
      <c r="B14" s="68"/>
      <c r="C14" s="68"/>
      <c r="D14" s="68"/>
      <c r="E14" s="74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68" t="s">
        <v>135</v>
      </c>
      <c r="B15" s="68"/>
      <c r="C15" s="68"/>
      <c r="D15" s="68"/>
      <c r="E15" s="74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68" t="s">
        <v>136</v>
      </c>
      <c r="B16" s="68"/>
      <c r="C16" s="68"/>
      <c r="D16" s="68"/>
      <c r="E16" s="74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68" t="s">
        <v>137</v>
      </c>
      <c r="B17" s="68"/>
      <c r="C17" s="68"/>
      <c r="D17" s="68"/>
      <c r="E17" s="74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68" t="s">
        <v>138</v>
      </c>
      <c r="B18" s="68"/>
      <c r="C18" s="68"/>
      <c r="D18" s="68"/>
      <c r="E18" s="74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68" t="s">
        <v>139</v>
      </c>
      <c r="B19" s="68"/>
      <c r="C19" s="68"/>
      <c r="D19" s="68"/>
      <c r="E19" s="74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68" t="s">
        <v>140</v>
      </c>
      <c r="B20" s="68"/>
      <c r="C20" s="68"/>
      <c r="D20" s="68"/>
      <c r="E20" s="74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68" t="s">
        <v>141</v>
      </c>
      <c r="B21" s="68"/>
      <c r="C21" s="68"/>
      <c r="D21" s="68"/>
      <c r="E21" s="74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68" t="s">
        <v>142</v>
      </c>
      <c r="B22" s="68"/>
      <c r="C22" s="68"/>
      <c r="D22" s="68"/>
      <c r="E22" s="74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68" t="s">
        <v>143</v>
      </c>
      <c r="B23" s="68"/>
      <c r="C23" s="68"/>
      <c r="D23" s="68"/>
      <c r="E23" s="74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35">
      <c r="A24" s="4"/>
      <c r="B24" s="4"/>
      <c r="C24" s="4"/>
      <c r="E24" s="4"/>
      <c r="F24" s="4"/>
      <c r="G24" s="4"/>
      <c r="H24" s="4"/>
    </row>
    <row r="25" spans="1:9" ht="19.75" customHeight="1" thickBot="1" x14ac:dyDescent="0.65">
      <c r="A25" s="82" t="s">
        <v>3</v>
      </c>
      <c r="B25" s="83"/>
      <c r="C25" s="82"/>
      <c r="D25" s="83"/>
      <c r="E25" s="12" t="s">
        <v>10</v>
      </c>
      <c r="F25" s="84" t="s">
        <v>7</v>
      </c>
      <c r="G25" s="85"/>
      <c r="H25" s="85"/>
      <c r="I25" s="3"/>
    </row>
    <row r="26" spans="1:9" ht="19.75" customHeight="1" thickTop="1" x14ac:dyDescent="0.6">
      <c r="A26" s="31" t="s">
        <v>144</v>
      </c>
      <c r="B26" s="31"/>
      <c r="C26" s="31"/>
      <c r="D26" s="69"/>
      <c r="E26" s="32">
        <v>4</v>
      </c>
      <c r="F26" s="15" t="s">
        <v>11</v>
      </c>
      <c r="G26" s="86" t="s">
        <v>5</v>
      </c>
      <c r="H26" s="86"/>
      <c r="I26" s="29" t="s">
        <v>6</v>
      </c>
    </row>
    <row r="27" spans="1:9" ht="19.75" customHeight="1" x14ac:dyDescent="0.6">
      <c r="A27" s="32" t="s">
        <v>145</v>
      </c>
      <c r="B27" s="32"/>
      <c r="C27" s="32"/>
      <c r="D27" s="70"/>
      <c r="E27" s="32">
        <v>12</v>
      </c>
      <c r="F27" s="14" t="s">
        <v>11</v>
      </c>
      <c r="G27" s="81" t="s">
        <v>5</v>
      </c>
      <c r="H27" s="81"/>
      <c r="I27" s="27" t="s">
        <v>6</v>
      </c>
    </row>
    <row r="28" spans="1:9" ht="19.75" customHeight="1" x14ac:dyDescent="0.6">
      <c r="A28" s="32" t="s">
        <v>146</v>
      </c>
      <c r="B28" s="32"/>
      <c r="C28" s="32"/>
      <c r="D28" s="70"/>
      <c r="E28" s="32">
        <v>9</v>
      </c>
      <c r="F28" s="14" t="s">
        <v>11</v>
      </c>
      <c r="G28" s="81" t="s">
        <v>5</v>
      </c>
      <c r="H28" s="81"/>
      <c r="I28" s="27" t="s">
        <v>6</v>
      </c>
    </row>
    <row r="29" spans="1:9" ht="19.75" customHeight="1" x14ac:dyDescent="0.6">
      <c r="A29" s="32" t="s">
        <v>147</v>
      </c>
      <c r="B29" s="32"/>
      <c r="C29" s="32"/>
      <c r="D29" s="70"/>
      <c r="E29" s="32">
        <v>2</v>
      </c>
      <c r="F29" s="14" t="s">
        <v>11</v>
      </c>
      <c r="G29" s="81" t="s">
        <v>5</v>
      </c>
      <c r="H29" s="81"/>
      <c r="I29" s="27" t="s">
        <v>6</v>
      </c>
    </row>
    <row r="30" spans="1:9" ht="19.75" customHeight="1" x14ac:dyDescent="0.6">
      <c r="A30" s="32" t="s">
        <v>148</v>
      </c>
      <c r="B30" s="32"/>
      <c r="C30" s="32"/>
      <c r="D30" s="70"/>
      <c r="E30" s="32">
        <v>2</v>
      </c>
      <c r="F30" s="14" t="s">
        <v>11</v>
      </c>
      <c r="G30" s="81" t="s">
        <v>5</v>
      </c>
      <c r="H30" s="81"/>
      <c r="I30" s="27" t="s">
        <v>6</v>
      </c>
    </row>
    <row r="31" spans="1:9" ht="19.75" customHeight="1" x14ac:dyDescent="0.6">
      <c r="A31" s="32"/>
      <c r="B31" s="10"/>
      <c r="C31" s="10"/>
      <c r="D31" s="19"/>
      <c r="E31" s="10"/>
      <c r="F31" s="14" t="s">
        <v>11</v>
      </c>
      <c r="G31" s="81" t="s">
        <v>5</v>
      </c>
      <c r="H31" s="81"/>
      <c r="I31" s="27" t="s">
        <v>6</v>
      </c>
    </row>
    <row r="32" spans="1:9" x14ac:dyDescent="0.35">
      <c r="A32" s="4"/>
      <c r="B32" s="4"/>
    </row>
    <row r="33" spans="1:7" ht="26" x14ac:dyDescent="0.6">
      <c r="A33" s="4" t="s">
        <v>12</v>
      </c>
      <c r="B33" s="27" t="s">
        <v>13</v>
      </c>
      <c r="D33" s="27" t="s">
        <v>15</v>
      </c>
      <c r="F33" s="27" t="s">
        <v>14</v>
      </c>
      <c r="G33" s="27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0">
    <tabColor rgb="FF0070C0"/>
  </sheetPr>
  <dimension ref="A1:I36"/>
  <sheetViews>
    <sheetView showGridLines="0" view="pageLayout" zoomScaleNormal="100" workbookViewId="0">
      <selection activeCell="G3" sqref="G3: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0.5" customHeight="1" x14ac:dyDescent="0.6">
      <c r="A1" s="2" t="s">
        <v>0</v>
      </c>
      <c r="B1" s="87" t="s">
        <v>157</v>
      </c>
      <c r="C1" s="87"/>
      <c r="D1" s="87"/>
      <c r="E1" s="87"/>
      <c r="F1" s="1"/>
      <c r="G1" s="7" t="s">
        <v>4</v>
      </c>
      <c r="H1">
        <f>SUM(E6:E34)</f>
        <v>128</v>
      </c>
    </row>
    <row r="2" spans="1:9" ht="21.5" customHeight="1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158</v>
      </c>
      <c r="G3" s="76" t="s">
        <v>259</v>
      </c>
      <c r="H3" s="76" t="s">
        <v>260</v>
      </c>
    </row>
    <row r="5" spans="1:9" s="3" customFormat="1" ht="13.5" customHeight="1" thickBot="1" x14ac:dyDescent="0.65">
      <c r="A5" s="82" t="s">
        <v>2</v>
      </c>
      <c r="B5" s="82"/>
      <c r="C5" s="82"/>
      <c r="D5" s="83"/>
      <c r="E5" s="28" t="s">
        <v>10</v>
      </c>
      <c r="F5" s="84" t="s">
        <v>7</v>
      </c>
      <c r="G5" s="85"/>
      <c r="H5" s="85"/>
    </row>
    <row r="6" spans="1:9" s="3" customFormat="1" ht="20.149999999999999" customHeight="1" thickTop="1" x14ac:dyDescent="0.6">
      <c r="A6" s="50" t="s">
        <v>184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50" t="s">
        <v>185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50" t="s">
        <v>186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50" t="s">
        <v>187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50" t="s">
        <v>191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5" t="s">
        <v>192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5" t="s">
        <v>193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5" t="s">
        <v>194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5" t="s">
        <v>197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49999999999999" customHeight="1" x14ac:dyDescent="0.6">
      <c r="A15" s="5" t="s">
        <v>198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5" t="s">
        <v>199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5" t="s">
        <v>200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5" t="s">
        <v>201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5" t="s">
        <v>202</v>
      </c>
      <c r="B19" s="50"/>
      <c r="C19" s="50"/>
      <c r="D19" s="50"/>
      <c r="E19" s="6">
        <v>1</v>
      </c>
      <c r="F19" s="14" t="s">
        <v>11</v>
      </c>
      <c r="G19" s="49" t="s">
        <v>5</v>
      </c>
      <c r="H19" s="49" t="s">
        <v>9</v>
      </c>
      <c r="I19" s="49" t="s">
        <v>6</v>
      </c>
    </row>
    <row r="20" spans="1:9" ht="20.149999999999999" customHeight="1" x14ac:dyDescent="0.6">
      <c r="A20" s="50" t="s">
        <v>203</v>
      </c>
      <c r="B20" s="50"/>
      <c r="C20" s="50"/>
      <c r="D20" s="50"/>
      <c r="E20" s="6">
        <v>1</v>
      </c>
      <c r="F20" s="14" t="s">
        <v>11</v>
      </c>
      <c r="G20" s="49" t="s">
        <v>5</v>
      </c>
      <c r="H20" s="49" t="s">
        <v>9</v>
      </c>
      <c r="I20" s="49" t="s">
        <v>6</v>
      </c>
    </row>
    <row r="21" spans="1:9" ht="20.149999999999999" customHeight="1" x14ac:dyDescent="0.6">
      <c r="A21" s="50" t="s">
        <v>204</v>
      </c>
      <c r="B21" s="50"/>
      <c r="C21" s="50"/>
      <c r="D21" s="50"/>
      <c r="E21" s="6">
        <v>1</v>
      </c>
      <c r="F21" s="14" t="s">
        <v>11</v>
      </c>
      <c r="G21" s="49" t="s">
        <v>5</v>
      </c>
      <c r="H21" s="49" t="s">
        <v>9</v>
      </c>
      <c r="I21" s="49" t="s">
        <v>6</v>
      </c>
    </row>
    <row r="22" spans="1:9" ht="20.149999999999999" customHeight="1" x14ac:dyDescent="0.6">
      <c r="A22" s="51" t="s">
        <v>205</v>
      </c>
      <c r="B22" s="5"/>
      <c r="C22" s="5"/>
      <c r="D22" s="5"/>
      <c r="E22" s="6">
        <v>1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49999999999999" customHeight="1" x14ac:dyDescent="0.35">
      <c r="A23" s="4"/>
      <c r="B23" s="4"/>
      <c r="C23" s="4"/>
      <c r="E23" s="4"/>
      <c r="F23" s="4"/>
      <c r="G23" s="4"/>
      <c r="H23" s="4"/>
    </row>
    <row r="24" spans="1:9" ht="20.149999999999999" customHeight="1" thickBot="1" x14ac:dyDescent="0.65">
      <c r="A24" s="82" t="s">
        <v>3</v>
      </c>
      <c r="B24" s="83"/>
      <c r="C24" s="82"/>
      <c r="D24" s="83"/>
      <c r="E24" s="12" t="s">
        <v>10</v>
      </c>
      <c r="F24" s="84" t="s">
        <v>7</v>
      </c>
      <c r="G24" s="85"/>
      <c r="H24" s="85"/>
      <c r="I24" s="3"/>
    </row>
    <row r="25" spans="1:9" ht="20.149999999999999" customHeight="1" thickTop="1" x14ac:dyDescent="0.6">
      <c r="A25" s="128" t="s">
        <v>188</v>
      </c>
      <c r="B25" s="128"/>
      <c r="C25" s="128"/>
      <c r="D25" s="129"/>
      <c r="E25" s="6">
        <v>10</v>
      </c>
      <c r="F25" s="15" t="s">
        <v>11</v>
      </c>
      <c r="G25" s="86" t="s">
        <v>5</v>
      </c>
      <c r="H25" s="86"/>
      <c r="I25" s="29" t="s">
        <v>6</v>
      </c>
    </row>
    <row r="26" spans="1:9" ht="20.149999999999999" customHeight="1" x14ac:dyDescent="0.6">
      <c r="A26" s="100" t="s">
        <v>189</v>
      </c>
      <c r="B26" s="100"/>
      <c r="C26" s="100"/>
      <c r="D26" s="101"/>
      <c r="E26" s="6">
        <v>10</v>
      </c>
      <c r="F26" s="14" t="s">
        <v>11</v>
      </c>
      <c r="G26" s="81" t="s">
        <v>5</v>
      </c>
      <c r="H26" s="81"/>
      <c r="I26" s="27" t="s">
        <v>6</v>
      </c>
    </row>
    <row r="27" spans="1:9" ht="20.149999999999999" customHeight="1" x14ac:dyDescent="0.6">
      <c r="A27" s="100" t="s">
        <v>190</v>
      </c>
      <c r="B27" s="100"/>
      <c r="C27" s="100"/>
      <c r="D27" s="101"/>
      <c r="E27" s="6">
        <v>20</v>
      </c>
      <c r="F27" s="14" t="s">
        <v>11</v>
      </c>
      <c r="G27" s="81" t="s">
        <v>5</v>
      </c>
      <c r="H27" s="81"/>
      <c r="I27" s="27" t="s">
        <v>6</v>
      </c>
    </row>
    <row r="28" spans="1:9" ht="20.149999999999999" customHeight="1" x14ac:dyDescent="0.6">
      <c r="A28" s="100" t="s">
        <v>145</v>
      </c>
      <c r="B28" s="100"/>
      <c r="C28" s="100"/>
      <c r="D28" s="101"/>
      <c r="E28" s="6">
        <v>20</v>
      </c>
      <c r="F28" s="14" t="s">
        <v>11</v>
      </c>
      <c r="G28" s="81" t="s">
        <v>5</v>
      </c>
      <c r="H28" s="81"/>
      <c r="I28" s="27" t="s">
        <v>6</v>
      </c>
    </row>
    <row r="29" spans="1:9" ht="20.149999999999999" customHeight="1" x14ac:dyDescent="0.6">
      <c r="A29" s="100" t="s">
        <v>195</v>
      </c>
      <c r="B29" s="100"/>
      <c r="C29" s="100"/>
      <c r="D29" s="101"/>
      <c r="E29" s="6">
        <v>6</v>
      </c>
      <c r="F29" s="14" t="s">
        <v>11</v>
      </c>
      <c r="G29" s="81" t="s">
        <v>5</v>
      </c>
      <c r="H29" s="81"/>
      <c r="I29" s="27" t="s">
        <v>6</v>
      </c>
    </row>
    <row r="30" spans="1:9" ht="20.149999999999999" customHeight="1" x14ac:dyDescent="0.6">
      <c r="A30" s="100" t="s">
        <v>196</v>
      </c>
      <c r="B30" s="100"/>
      <c r="C30" s="100"/>
      <c r="D30" s="101"/>
      <c r="E30" s="6">
        <v>12</v>
      </c>
      <c r="F30" s="14" t="s">
        <v>11</v>
      </c>
      <c r="G30" s="81" t="s">
        <v>5</v>
      </c>
      <c r="H30" s="81"/>
      <c r="I30" s="49" t="s">
        <v>6</v>
      </c>
    </row>
    <row r="31" spans="1:9" ht="20.149999999999999" customHeight="1" x14ac:dyDescent="0.6">
      <c r="A31" s="100" t="s">
        <v>257</v>
      </c>
      <c r="B31" s="100"/>
      <c r="C31" s="100"/>
      <c r="D31" s="101"/>
      <c r="E31" s="6">
        <v>9</v>
      </c>
      <c r="F31" s="14" t="s">
        <v>11</v>
      </c>
      <c r="G31" s="81" t="s">
        <v>5</v>
      </c>
      <c r="H31" s="81"/>
      <c r="I31" s="49" t="s">
        <v>6</v>
      </c>
    </row>
    <row r="32" spans="1:9" ht="20.149999999999999" customHeight="1" x14ac:dyDescent="0.6">
      <c r="A32" s="100" t="s">
        <v>190</v>
      </c>
      <c r="B32" s="100"/>
      <c r="C32" s="100"/>
      <c r="D32" s="101"/>
      <c r="E32" s="6">
        <v>18</v>
      </c>
      <c r="F32" s="14" t="s">
        <v>11</v>
      </c>
      <c r="G32" s="81" t="s">
        <v>5</v>
      </c>
      <c r="H32" s="81"/>
      <c r="I32" s="49" t="s">
        <v>6</v>
      </c>
    </row>
    <row r="33" spans="1:9" ht="20.149999999999999" customHeight="1" x14ac:dyDescent="0.6">
      <c r="A33" s="96" t="s">
        <v>206</v>
      </c>
      <c r="B33" s="96"/>
      <c r="C33" s="96"/>
      <c r="D33" s="97"/>
      <c r="E33" s="6">
        <v>2</v>
      </c>
      <c r="F33" s="14" t="s">
        <v>11</v>
      </c>
      <c r="G33" s="81" t="s">
        <v>5</v>
      </c>
      <c r="H33" s="81"/>
      <c r="I33" s="49" t="s">
        <v>6</v>
      </c>
    </row>
    <row r="34" spans="1:9" ht="20.149999999999999" customHeight="1" x14ac:dyDescent="0.6">
      <c r="A34" s="100" t="s">
        <v>210</v>
      </c>
      <c r="B34" s="100"/>
      <c r="C34" s="100"/>
      <c r="D34" s="101"/>
      <c r="E34" s="6">
        <v>1</v>
      </c>
      <c r="F34" s="14" t="s">
        <v>11</v>
      </c>
      <c r="G34" s="81" t="s">
        <v>5</v>
      </c>
      <c r="H34" s="81"/>
      <c r="I34" s="49" t="s">
        <v>6</v>
      </c>
    </row>
    <row r="35" spans="1:9" ht="10.5" customHeight="1" x14ac:dyDescent="0.35">
      <c r="A35" s="4"/>
      <c r="B35" s="4"/>
    </row>
    <row r="36" spans="1:9" ht="26" x14ac:dyDescent="0.6">
      <c r="A36" s="4" t="s">
        <v>12</v>
      </c>
      <c r="B36" s="27" t="s">
        <v>13</v>
      </c>
      <c r="D36" s="27" t="s">
        <v>15</v>
      </c>
      <c r="F36" s="27" t="s">
        <v>14</v>
      </c>
      <c r="G36" s="27" t="s">
        <v>16</v>
      </c>
    </row>
  </sheetData>
  <mergeCells count="26">
    <mergeCell ref="G33:H33"/>
    <mergeCell ref="G34:H34"/>
    <mergeCell ref="B1:E1"/>
    <mergeCell ref="A3:D3"/>
    <mergeCell ref="A5:D5"/>
    <mergeCell ref="F5:H5"/>
    <mergeCell ref="A24:D24"/>
    <mergeCell ref="F24:H24"/>
    <mergeCell ref="G30:H30"/>
    <mergeCell ref="G31:H31"/>
    <mergeCell ref="G32:H32"/>
    <mergeCell ref="G25:H25"/>
    <mergeCell ref="G26:H26"/>
    <mergeCell ref="G27:H27"/>
    <mergeCell ref="G28:H28"/>
    <mergeCell ref="G29:H29"/>
    <mergeCell ref="A25:D25"/>
    <mergeCell ref="A26:D26"/>
    <mergeCell ref="A27:D27"/>
    <mergeCell ref="A28:D28"/>
    <mergeCell ref="A29:D29"/>
    <mergeCell ref="A30:D30"/>
    <mergeCell ref="A31:D31"/>
    <mergeCell ref="A32:D32"/>
    <mergeCell ref="A33:D33"/>
    <mergeCell ref="A34:D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1">
    <tabColor rgb="FF0070C0"/>
  </sheetPr>
  <dimension ref="A1:I34"/>
  <sheetViews>
    <sheetView showGridLines="0" view="pageLayout" zoomScaleNormal="100" workbookViewId="0">
      <selection activeCell="I5" sqref="I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87" t="s">
        <v>159</v>
      </c>
      <c r="C1" s="87"/>
      <c r="D1" s="87"/>
      <c r="E1" s="87"/>
      <c r="F1" s="1"/>
      <c r="G1" s="7" t="s">
        <v>4</v>
      </c>
      <c r="H1">
        <f>SUM(E6:E24)</f>
        <v>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88" t="s">
        <v>1</v>
      </c>
      <c r="B3" s="88"/>
      <c r="C3" s="89"/>
      <c r="D3" s="89"/>
      <c r="E3" s="20" t="s">
        <v>158</v>
      </c>
      <c r="G3" s="76" t="s">
        <v>259</v>
      </c>
      <c r="H3" s="76" t="s">
        <v>261</v>
      </c>
    </row>
    <row r="5" spans="1:9" s="3" customFormat="1" ht="49.5" customHeight="1" thickBot="1" x14ac:dyDescent="0.65">
      <c r="A5" s="82" t="s">
        <v>2</v>
      </c>
      <c r="B5" s="82"/>
      <c r="C5" s="82"/>
      <c r="D5" s="83"/>
      <c r="E5" s="28" t="s">
        <v>10</v>
      </c>
      <c r="F5" s="84" t="s">
        <v>7</v>
      </c>
      <c r="G5" s="85"/>
      <c r="H5" s="85"/>
    </row>
    <row r="6" spans="1:9" s="3" customFormat="1" ht="20.149999999999999" customHeight="1" thickTop="1" x14ac:dyDescent="0.6">
      <c r="A6" s="31" t="s">
        <v>207</v>
      </c>
      <c r="B6" s="31"/>
      <c r="C6" s="31"/>
      <c r="D6" s="31"/>
      <c r="E6" s="72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68" t="s">
        <v>208</v>
      </c>
      <c r="B7" s="68"/>
      <c r="C7" s="68"/>
      <c r="D7" s="68"/>
      <c r="E7" s="73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68" t="s">
        <v>209</v>
      </c>
      <c r="B8" s="68"/>
      <c r="C8" s="68"/>
      <c r="D8" s="68"/>
      <c r="E8" s="74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68" t="s">
        <v>211</v>
      </c>
      <c r="B9" s="68"/>
      <c r="C9" s="68"/>
      <c r="D9" s="68"/>
      <c r="E9" s="74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4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4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4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4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4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49999999999999" customHeight="1" x14ac:dyDescent="0.35">
      <c r="A25" s="4"/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82" t="s">
        <v>3</v>
      </c>
      <c r="B26" s="83"/>
      <c r="C26" s="82"/>
      <c r="D26" s="83"/>
      <c r="E26" s="12" t="s">
        <v>10</v>
      </c>
      <c r="F26" s="84" t="s">
        <v>7</v>
      </c>
      <c r="G26" s="85"/>
      <c r="H26" s="85"/>
      <c r="I26" s="3"/>
    </row>
    <row r="27" spans="1:9" ht="20.149999999999999" customHeight="1" thickTop="1" x14ac:dyDescent="0.6">
      <c r="A27" s="22"/>
      <c r="B27" s="17"/>
      <c r="C27" s="17"/>
      <c r="D27" s="18"/>
      <c r="E27" s="10"/>
      <c r="F27" s="15" t="s">
        <v>11</v>
      </c>
      <c r="G27" s="86" t="s">
        <v>5</v>
      </c>
      <c r="H27" s="86"/>
      <c r="I27" s="29" t="s">
        <v>6</v>
      </c>
    </row>
    <row r="28" spans="1:9" ht="20.149999999999999" customHeight="1" x14ac:dyDescent="0.6">
      <c r="A28" s="23"/>
      <c r="B28" s="10"/>
      <c r="C28" s="10"/>
      <c r="D28" s="19"/>
      <c r="E28" s="10"/>
      <c r="F28" s="14" t="s">
        <v>11</v>
      </c>
      <c r="G28" s="81" t="s">
        <v>5</v>
      </c>
      <c r="H28" s="81"/>
      <c r="I28" s="27" t="s">
        <v>6</v>
      </c>
    </row>
    <row r="29" spans="1:9" ht="20.149999999999999" customHeight="1" x14ac:dyDescent="0.6">
      <c r="A29" s="10"/>
      <c r="B29" s="10"/>
      <c r="C29" s="10"/>
      <c r="D29" s="19"/>
      <c r="E29" s="10"/>
      <c r="F29" s="14" t="s">
        <v>11</v>
      </c>
      <c r="G29" s="81" t="s">
        <v>5</v>
      </c>
      <c r="H29" s="81"/>
      <c r="I29" s="27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81" t="s">
        <v>5</v>
      </c>
      <c r="H30" s="81"/>
      <c r="I30" s="27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81" t="s">
        <v>5</v>
      </c>
      <c r="H31" s="81"/>
      <c r="I31" s="27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81" t="s">
        <v>5</v>
      </c>
      <c r="H32" s="81"/>
      <c r="I32" s="27" t="s">
        <v>6</v>
      </c>
    </row>
    <row r="33" spans="1:7" ht="10.5" customHeight="1" x14ac:dyDescent="0.35">
      <c r="A33" s="4"/>
      <c r="B33" s="4"/>
    </row>
    <row r="34" spans="1:7" ht="26" x14ac:dyDescent="0.6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Statistique_Kit</vt:lpstr>
      <vt:lpstr>Kit_Montage_Template</vt:lpstr>
      <vt:lpstr>Kit_Montage_Template (2)</vt:lpstr>
      <vt:lpstr>Kit_Carrosserie</vt:lpstr>
      <vt:lpstr>Kit_Pédalier</vt:lpstr>
      <vt:lpstr>Kit_Direction</vt:lpstr>
      <vt:lpstr>Kit_Roue équipée_AR</vt:lpstr>
      <vt:lpstr>Kit_Roue équipée_AV</vt:lpstr>
      <vt:lpstr>Kit_Triangles</vt:lpstr>
      <vt:lpstr>Kit_BAR</vt:lpstr>
      <vt:lpstr>Kit_Freinage</vt:lpstr>
      <vt:lpstr>Kit__Transm_Sec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2019-02-21T10:21:44Z</dcterms:modified>
</cp:coreProperties>
</file>