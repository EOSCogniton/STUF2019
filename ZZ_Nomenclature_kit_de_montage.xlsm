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xr:revisionPtr revIDLastSave="0" documentId="13_ncr:1_{D9C242AD-1CD8-43E3-90EF-439BADAA027E}" xr6:coauthVersionLast="41" xr6:coauthVersionMax="41" xr10:uidLastSave="{00000000-0000-0000-0000-000000000000}"/>
  <bookViews>
    <workbookView xWindow="-110" yWindow="-110" windowWidth="25820" windowHeight="15620" tabRatio="927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Chassis" sheetId="24" r:id="rId4"/>
    <sheet name="Kit_Carrosserie" sheetId="3" r:id="rId5"/>
    <sheet name="Kit_Ergonomie" sheetId="21" r:id="rId6"/>
    <sheet name="Kit_Suspension" sheetId="22" r:id="rId7"/>
    <sheet name="Kit_Pédalier" sheetId="16" r:id="rId8"/>
    <sheet name="Kit_Direction" sheetId="4" r:id="rId9"/>
    <sheet name="Kit_Roues équipées" sheetId="20" r:id="rId10"/>
    <sheet name="Kit_Triangles" sheetId="6" r:id="rId11"/>
    <sheet name="Kit_BAR" sheetId="7" r:id="rId12"/>
    <sheet name="Kit_Freinage" sheetId="8" r:id="rId13"/>
    <sheet name="Kit__Moteur" sheetId="23" r:id="rId14"/>
    <sheet name="Kit__Transm_Sec" sheetId="19" r:id="rId15"/>
    <sheet name="Kit_CircuitCarburant" sheetId="9" r:id="rId16"/>
    <sheet name="Kit_Admission" sheetId="11" r:id="rId17"/>
    <sheet name="Kit_Echappement" sheetId="12" r:id="rId18"/>
    <sheet name="Kit_Cooling" sheetId="25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0" l="1"/>
  <c r="C20" i="10"/>
  <c r="B20" i="10"/>
  <c r="A20" i="10"/>
  <c r="H4" i="25"/>
  <c r="D20" i="10" s="1"/>
  <c r="H1" i="25"/>
  <c r="J6" i="23" l="1"/>
  <c r="J8" i="20" l="1"/>
  <c r="J7" i="20"/>
  <c r="E5" i="10" l="1"/>
  <c r="D5" i="10"/>
  <c r="C5" i="10"/>
  <c r="B5" i="10"/>
  <c r="A5" i="10"/>
  <c r="J6" i="24"/>
  <c r="H4" i="24"/>
  <c r="H1" i="24"/>
  <c r="H4" i="12"/>
  <c r="D19" i="10" s="1"/>
  <c r="B15" i="10"/>
  <c r="A15" i="10"/>
  <c r="H4" i="23"/>
  <c r="D15" i="10" s="1"/>
  <c r="H1" i="23"/>
  <c r="A16" i="10"/>
  <c r="D18" i="10"/>
  <c r="D17" i="10"/>
  <c r="D16" i="10"/>
  <c r="D14" i="10"/>
  <c r="D13" i="10"/>
  <c r="D12" i="10"/>
  <c r="D9" i="10"/>
  <c r="H4" i="16"/>
  <c r="D8" i="10" s="1"/>
  <c r="H4" i="22"/>
  <c r="D10" i="10" s="1"/>
  <c r="H4" i="21"/>
  <c r="H4" i="3"/>
  <c r="D6" i="10" s="1"/>
  <c r="D7" i="10"/>
  <c r="J11" i="8"/>
  <c r="H4" i="8" s="1"/>
  <c r="J32" i="8"/>
  <c r="J31" i="8"/>
  <c r="J30" i="8"/>
  <c r="J6" i="7" l="1"/>
  <c r="H4" i="7" s="1"/>
  <c r="J8" i="7"/>
  <c r="J31" i="6"/>
  <c r="J30" i="6"/>
  <c r="J29" i="6"/>
  <c r="J28" i="6"/>
  <c r="J10" i="4"/>
  <c r="H4" i="4" s="1"/>
  <c r="H4" i="6" l="1"/>
  <c r="J24" i="20"/>
  <c r="J23" i="20"/>
  <c r="J10" i="20"/>
  <c r="J6" i="20"/>
  <c r="H4" i="11"/>
  <c r="J7" i="8"/>
  <c r="J18" i="8"/>
  <c r="J9" i="8"/>
  <c r="J8" i="8"/>
  <c r="J6" i="8"/>
  <c r="J20" i="19"/>
  <c r="J28" i="19"/>
  <c r="J23" i="19"/>
  <c r="J22" i="19"/>
  <c r="J21" i="19"/>
  <c r="H4" i="20" l="1"/>
  <c r="D11" i="10" s="1"/>
  <c r="D24" i="10" s="1"/>
  <c r="E10" i="10"/>
  <c r="C10" i="10"/>
  <c r="B10" i="10"/>
  <c r="A10" i="10"/>
  <c r="E7" i="10"/>
  <c r="C7" i="10"/>
  <c r="B7" i="10"/>
  <c r="A7" i="10"/>
  <c r="H4" i="19"/>
  <c r="H1" i="22" l="1"/>
  <c r="H1" i="21"/>
  <c r="E19" i="10" l="1"/>
  <c r="E18" i="10"/>
  <c r="E17" i="10"/>
  <c r="E16" i="10"/>
  <c r="E14" i="10"/>
  <c r="E13" i="10"/>
  <c r="E12" i="10"/>
  <c r="E11" i="10"/>
  <c r="B11" i="10"/>
  <c r="A11" i="10"/>
  <c r="E9" i="10"/>
  <c r="E8" i="10"/>
  <c r="E6" i="10"/>
  <c r="B16" i="10" l="1"/>
  <c r="H1" i="11"/>
  <c r="H1" i="9"/>
  <c r="H1" i="8"/>
  <c r="H1" i="7"/>
  <c r="H1" i="4"/>
  <c r="H1" i="16"/>
  <c r="H1" i="19"/>
  <c r="C16" i="10" s="1"/>
  <c r="H1" i="20" l="1"/>
  <c r="C11" i="10" s="1"/>
  <c r="H1" i="17" l="1"/>
  <c r="C8" i="10" l="1"/>
  <c r="B8" i="10"/>
  <c r="A8" i="10"/>
  <c r="B19" i="10" l="1"/>
  <c r="A19" i="10"/>
  <c r="B18" i="10"/>
  <c r="A18" i="10"/>
  <c r="H1" i="12"/>
  <c r="C19" i="10" s="1"/>
  <c r="C18" i="10"/>
  <c r="B17" i="10"/>
  <c r="A17" i="10"/>
  <c r="B14" i="10"/>
  <c r="A14" i="10"/>
  <c r="B13" i="10"/>
  <c r="A13" i="10"/>
  <c r="B12" i="10"/>
  <c r="A12" i="10"/>
  <c r="B9" i="10"/>
  <c r="A9" i="10"/>
  <c r="B6" i="10"/>
  <c r="A6" i="10"/>
  <c r="C17" i="10"/>
  <c r="C14" i="10"/>
  <c r="C13" i="10" l="1"/>
  <c r="E22" i="6" l="1"/>
  <c r="H1" i="6" l="1"/>
  <c r="C12" i="10" s="1"/>
  <c r="C9" i="10" l="1"/>
  <c r="H1" i="3" l="1"/>
  <c r="C6" i="10" s="1"/>
  <c r="C24" i="10" s="1"/>
  <c r="H1" i="1" l="1"/>
</calcChain>
</file>

<file path=xl/sharedStrings.xml><?xml version="1.0" encoding="utf-8"?>
<sst xmlns="http://schemas.openxmlformats.org/spreadsheetml/2006/main" count="2691" uniqueCount="417">
  <si>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</si>
  <si>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</si>
  <si>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</si>
  <si>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</si>
  <si>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</si>
  <si>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</si>
  <si>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</si>
  <si>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</si>
  <si>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</si>
  <si>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</si>
  <si>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</si>
  <si>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</si>
  <si>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</si>
  <si>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</si>
  <si>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</si>
  <si>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</si>
  <si>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</si>
  <si>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</si>
  <si>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</si>
  <si>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</si>
  <si>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</si>
  <si>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</si>
  <si>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</si>
  <si>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</si>
  <si>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</si>
  <si>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</si>
  <si>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</si>
  <si>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</si>
  <si>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Joint de cardan</t>
  </si>
  <si>
    <t xml:space="preserve">Crémaillère </t>
  </si>
  <si>
    <t>spine coupler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</si>
  <si>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</si>
  <si>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</si>
  <si>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</si>
  <si>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</si>
  <si>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</si>
  <si>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</si>
  <si>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</si>
  <si>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</si>
  <si>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</si>
  <si>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</si>
  <si>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</si>
  <si>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</si>
  <si>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</si>
  <si>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</si>
  <si>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</si>
  <si>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</si>
  <si>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</si>
  <si>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</si>
  <si>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</si>
  <si>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</si>
  <si>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</si>
  <si>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</si>
  <si>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</si>
  <si>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</si>
  <si>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</si>
  <si>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</si>
  <si>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</si>
  <si>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</si>
  <si>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</si>
  <si>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</si>
  <si>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</si>
  <si>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</si>
  <si>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</si>
  <si>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</si>
  <si>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</si>
  <si>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</si>
  <si>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</si>
  <si>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</si>
  <si>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</si>
  <si>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</si>
  <si>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</si>
  <si>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</si>
  <si>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</si>
  <si>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</si>
  <si>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</si>
  <si>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</si>
  <si>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</si>
  <si>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</si>
  <si>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</si>
  <si>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</si>
  <si>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</si>
  <si>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</si>
  <si>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</si>
  <si>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</si>
  <si>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</si>
  <si>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</si>
  <si>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</si>
  <si>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</si>
  <si>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</si>
  <si>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</si>
  <si>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</si>
  <si>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</si>
  <si>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</si>
  <si>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</si>
  <si>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</si>
  <si>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</si>
  <si>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</si>
  <si>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</si>
  <si>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</si>
  <si>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</si>
  <si>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</si>
  <si>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</si>
  <si>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</si>
  <si>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</si>
  <si>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</si>
  <si>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</si>
  <si>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</si>
  <si>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</si>
  <si>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</si>
  <si>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</si>
  <si>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</si>
  <si>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</si>
  <si>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</si>
  <si>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</si>
  <si>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</si>
  <si>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</si>
  <si>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</si>
  <si>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</si>
  <si>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</si>
  <si>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</si>
  <si>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</si>
  <si>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</si>
  <si>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</si>
  <si>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</si>
  <si>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</si>
  <si>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</si>
  <si>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</si>
  <si>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</si>
  <si>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</si>
  <si>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</si>
  <si>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</si>
  <si>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</si>
  <si>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</si>
  <si>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</si>
  <si>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</si>
  <si>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</si>
  <si>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</si>
  <si>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</si>
  <si>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</si>
  <si>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</si>
  <si>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</si>
  <si>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</si>
  <si>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</si>
  <si>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</si>
  <si>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</si>
  <si>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</si>
  <si>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</si>
  <si>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</si>
  <si>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</si>
  <si>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</si>
  <si>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</si>
  <si>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</si>
  <si>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</si>
  <si>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</si>
  <si>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</si>
  <si>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</si>
  <si>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</si>
  <si>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</si>
  <si>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</si>
  <si>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</si>
  <si>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</si>
  <si>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</si>
  <si>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</si>
  <si>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</si>
  <si>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</si>
  <si>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</si>
  <si>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</si>
  <si>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</si>
  <si>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</si>
  <si>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</si>
  <si>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</si>
  <si>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</si>
  <si>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</si>
  <si>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</si>
  <si>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</si>
  <si>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</si>
  <si>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</si>
  <si>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</si>
  <si>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</si>
  <si>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</si>
  <si>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</si>
  <si>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</si>
  <si>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</si>
  <si>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</si>
  <si>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</si>
  <si>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</si>
  <si>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</si>
  <si>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</si>
  <si>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</si>
  <si>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</si>
  <si>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</si>
  <si>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</si>
  <si>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</si>
  <si>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</si>
  <si>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</si>
  <si>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</si>
  <si>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</si>
  <si>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</si>
  <si>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</si>
  <si>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</si>
  <si>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</si>
  <si>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</si>
  <si>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</si>
  <si>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</si>
  <si>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</si>
  <si>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</si>
  <si>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</si>
  <si>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</si>
  <si>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</si>
  <si>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</si>
  <si>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</si>
  <si>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</si>
  <si>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</si>
  <si>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</si>
  <si>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</si>
  <si>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</si>
  <si>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</si>
  <si>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</si>
  <si>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</si>
  <si>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</si>
  <si>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</si>
  <si>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</si>
  <si>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</si>
  <si>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Ecrou Nylstop M4</t>
  </si>
  <si>
    <t>Ecrou Nylstop M6</t>
  </si>
  <si>
    <t>Boulons M3 (guillotine)</t>
  </si>
  <si>
    <t>PROM :</t>
  </si>
  <si>
    <t>NOK</t>
  </si>
  <si>
    <t>OK</t>
  </si>
  <si>
    <t>PROM</t>
  </si>
  <si>
    <t>SU_11001</t>
  </si>
  <si>
    <t>Rear Left Upright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</si>
  <si>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</si>
  <si>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</si>
  <si>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</si>
  <si>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</si>
  <si>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</si>
  <si>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</si>
  <si>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</si>
  <si>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</si>
  <si>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</si>
  <si>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</si>
  <si>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</si>
  <si>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</si>
  <si>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</si>
  <si>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</si>
  <si>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</si>
  <si>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</si>
  <si>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</si>
  <si>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 xml:space="preserve">_x000D_
</t>
  </si>
  <si>
    <t>WT_02006</t>
  </si>
  <si>
    <t>Speed Sensor Spacer 3mm</t>
  </si>
  <si>
    <t>WT_02004</t>
  </si>
  <si>
    <t>Speed Sensor Spacer</t>
  </si>
  <si>
    <t>WT_03003</t>
  </si>
  <si>
    <t>Rear Bearing Washer</t>
  </si>
  <si>
    <t>SU_1000_001</t>
  </si>
  <si>
    <t>Front Left Upright</t>
  </si>
  <si>
    <t>WT_0200_001</t>
  </si>
  <si>
    <t>Front Hub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</si>
  <si>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</si>
  <si>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</si>
  <si>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</si>
  <si>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</si>
  <si>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</si>
  <si>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</si>
  <si>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</si>
  <si>
    <t>Vis plate M4*20</t>
  </si>
  <si>
    <t>Vic plate M6*16</t>
  </si>
  <si>
    <t>manchon</t>
  </si>
  <si>
    <t>Vis Chc DIN 912 M8*10</t>
  </si>
  <si>
    <t>Yohan Reguiai</t>
  </si>
  <si>
    <t>Ergonomie</t>
  </si>
  <si>
    <t>Nomenclature</t>
  </si>
  <si>
    <t>Désignation</t>
  </si>
  <si>
    <t>Driver's seat</t>
  </si>
  <si>
    <t>MS_A0200</t>
  </si>
  <si>
    <t>Rollbar padding</t>
  </si>
  <si>
    <t>MS_A0300</t>
  </si>
  <si>
    <t>MS_A0400</t>
  </si>
  <si>
    <t>Head restraint</t>
  </si>
  <si>
    <t>MS_A0501</t>
  </si>
  <si>
    <t>MS_A0502</t>
  </si>
  <si>
    <t>MS_A0503</t>
  </si>
  <si>
    <t>Harness</t>
  </si>
  <si>
    <t>Mousse 1</t>
  </si>
  <si>
    <t>Mousse 2</t>
  </si>
  <si>
    <r>
      <t xml:space="preserve">□ </t>
    </r>
    <r>
      <rPr>
        <sz val="11"/>
        <color theme="1"/>
        <rFont val="Calibri"/>
        <family val="2"/>
      </rPr>
      <t>Approvisionné</t>
    </r>
  </si>
  <si>
    <t>Masse</t>
  </si>
  <si>
    <t xml:space="preserve">tête fraisée M6x20 </t>
  </si>
  <si>
    <t xml:space="preserve">ecrou </t>
  </si>
  <si>
    <t>CHC M6x20</t>
  </si>
  <si>
    <t xml:space="preserve">Excentrique gauche </t>
  </si>
  <si>
    <t xml:space="preserve">Excentrique droit </t>
  </si>
  <si>
    <t>Porte excentrique gauche</t>
  </si>
  <si>
    <t>Porte excentrique droit</t>
  </si>
  <si>
    <t>EN_0901_002</t>
  </si>
  <si>
    <t>EN_0901_003</t>
  </si>
  <si>
    <t>EN_0901_004</t>
  </si>
  <si>
    <t>EN_0901_005</t>
  </si>
  <si>
    <t>EN_0901_001</t>
  </si>
  <si>
    <t>EN_0905_01</t>
  </si>
  <si>
    <t>EN_0905_02</t>
  </si>
  <si>
    <t>EN_A0903</t>
  </si>
  <si>
    <t>EN_A0904</t>
  </si>
  <si>
    <t>EN_0902_001</t>
  </si>
  <si>
    <t>EN_0902_002</t>
  </si>
  <si>
    <t>EN_0300_001</t>
  </si>
  <si>
    <t>EN_0300_002</t>
  </si>
  <si>
    <t>EN_0300_003</t>
  </si>
  <si>
    <t>EN_0300_004</t>
  </si>
  <si>
    <t>EN_0300_005</t>
  </si>
  <si>
    <t>EN_0300_006</t>
  </si>
  <si>
    <t>EN_0300_007</t>
  </si>
  <si>
    <t>EN_0300_008</t>
  </si>
  <si>
    <t>EN_0400_001</t>
  </si>
  <si>
    <t>EN_0400_002</t>
  </si>
  <si>
    <t>EN_0400_003</t>
  </si>
  <si>
    <t>EN_0400_004</t>
  </si>
  <si>
    <t>EN_0400_005</t>
  </si>
  <si>
    <t>EN_0400_007</t>
  </si>
  <si>
    <t>EN_0400_008</t>
  </si>
  <si>
    <t>EN_0400_010</t>
  </si>
  <si>
    <t>Ressorts</t>
  </si>
  <si>
    <t>Douilles</t>
  </si>
  <si>
    <t>Ecrous</t>
  </si>
  <si>
    <t>SU_A0500</t>
  </si>
  <si>
    <t>Ohlins</t>
  </si>
  <si>
    <t>Basculeurs avant</t>
  </si>
  <si>
    <t>Basculeurs arrières</t>
  </si>
  <si>
    <t>Entretoise pivot basculeurs</t>
  </si>
  <si>
    <t>Entretoise M8</t>
  </si>
  <si>
    <t>Entretoise M6</t>
  </si>
  <si>
    <t>Vis épaulées</t>
  </si>
  <si>
    <t>M8x40</t>
  </si>
  <si>
    <t>M6x40</t>
  </si>
  <si>
    <t>Coussinets</t>
  </si>
  <si>
    <t>ecrous nylstop M6</t>
  </si>
  <si>
    <t>ecrous nylstop M8</t>
  </si>
  <si>
    <t>Pignon</t>
  </si>
  <si>
    <t xml:space="preserve">Masse </t>
  </si>
  <si>
    <t>Volant</t>
  </si>
  <si>
    <t>PCT</t>
  </si>
  <si>
    <t>Suspension</t>
  </si>
  <si>
    <t>Tripod housing roue</t>
  </si>
  <si>
    <t>Tripod housing diff</t>
  </si>
  <si>
    <t>Soufflet</t>
  </si>
  <si>
    <t>Plaquettes étrier av</t>
  </si>
  <si>
    <t>Plaquettes étrier ar</t>
  </si>
  <si>
    <t>Frette avant</t>
  </si>
  <si>
    <t>Frette arrière</t>
  </si>
  <si>
    <t>Disques ar + vis + frette</t>
  </si>
  <si>
    <t>Rampe injection</t>
  </si>
  <si>
    <t>Adpatateur didier</t>
  </si>
  <si>
    <t>Bougie</t>
  </si>
  <si>
    <t>ST_A0100</t>
  </si>
  <si>
    <t>ST_A0200</t>
  </si>
  <si>
    <t>ST_A0300</t>
  </si>
  <si>
    <t>Quick realese</t>
  </si>
  <si>
    <t>ST_A0700</t>
  </si>
  <si>
    <t>Steering rack protection</t>
  </si>
  <si>
    <t>ST_A0400</t>
  </si>
  <si>
    <t>Paddle KAZ</t>
  </si>
  <si>
    <t>ST_A0600</t>
  </si>
  <si>
    <t>Roulements</t>
  </si>
  <si>
    <t>g</t>
  </si>
  <si>
    <t>Demi lune</t>
  </si>
  <si>
    <t>Entretoise</t>
  </si>
  <si>
    <t>Upper Front</t>
  </si>
  <si>
    <t>Lower Front</t>
  </si>
  <si>
    <t>Upper Rear</t>
  </si>
  <si>
    <t>Lower Rear</t>
  </si>
  <si>
    <t>SU_1400_001</t>
  </si>
  <si>
    <t>SU_1400_004</t>
  </si>
  <si>
    <t>SU_1500_001</t>
  </si>
  <si>
    <t>Biellettes</t>
  </si>
  <si>
    <t>SU_1400_005</t>
  </si>
  <si>
    <t>SU_1400_006</t>
  </si>
  <si>
    <t>SU_1400_007</t>
  </si>
  <si>
    <t>SU_1500_008</t>
  </si>
  <si>
    <t>SU_1500_004</t>
  </si>
  <si>
    <t>-</t>
  </si>
  <si>
    <t>BR_A0100</t>
  </si>
  <si>
    <t>Pions</t>
  </si>
  <si>
    <t>Rondelles</t>
  </si>
  <si>
    <t>Circlips</t>
  </si>
  <si>
    <t>pièces</t>
  </si>
  <si>
    <t>Moteur</t>
  </si>
  <si>
    <t>MPL</t>
  </si>
  <si>
    <t>Moteur CBR 600</t>
  </si>
  <si>
    <t>kg</t>
  </si>
  <si>
    <t>Frame</t>
  </si>
  <si>
    <t>Châssis</t>
  </si>
  <si>
    <t>RCS</t>
  </si>
  <si>
    <t xml:space="preserve">Huile </t>
  </si>
  <si>
    <t>Liquide refroidissement</t>
  </si>
  <si>
    <t>pignon</t>
  </si>
  <si>
    <t>axe</t>
  </si>
  <si>
    <t>Capteur guillotine</t>
  </si>
  <si>
    <t>État :</t>
  </si>
  <si>
    <r>
      <t xml:space="preserve">□ </t>
    </r>
    <r>
      <rPr>
        <sz val="11"/>
        <color theme="1"/>
        <rFont val="Calibri"/>
        <family val="2"/>
        <scheme val="minor"/>
      </rPr>
      <t>Approvisionné</t>
    </r>
  </si>
  <si>
    <r>
      <t xml:space="preserve">□ </t>
    </r>
    <r>
      <rPr>
        <sz val="11"/>
        <color theme="1"/>
        <rFont val="Calibri"/>
        <family val="2"/>
        <scheme val="minor"/>
      </rPr>
      <t>Livré</t>
    </r>
  </si>
  <si>
    <r>
      <t xml:space="preserve">□ </t>
    </r>
    <r>
      <rPr>
        <sz val="11"/>
        <color theme="1"/>
        <rFont val="Calibri"/>
        <family val="2"/>
        <scheme val="minor"/>
      </rPr>
      <t>Validé</t>
    </r>
  </si>
  <si>
    <r>
      <t xml:space="preserve">□ </t>
    </r>
    <r>
      <rPr>
        <sz val="11"/>
        <color theme="1"/>
        <rFont val="Calibri"/>
        <family val="2"/>
        <scheme val="minor"/>
      </rPr>
      <t>Intégré</t>
    </r>
  </si>
  <si>
    <r>
      <t xml:space="preserve">□ </t>
    </r>
    <r>
      <rPr>
        <sz val="11"/>
        <color theme="1"/>
        <rFont val="Calibri"/>
        <family val="2"/>
        <scheme val="minor"/>
      </rPr>
      <t>Commandé/Produit</t>
    </r>
  </si>
  <si>
    <r>
      <t xml:space="preserve">□ </t>
    </r>
    <r>
      <rPr>
        <sz val="11"/>
        <color theme="1"/>
        <rFont val="Calibri"/>
        <family val="2"/>
        <scheme val="minor"/>
      </rPr>
      <t>Directeur Performance</t>
    </r>
  </si>
  <si>
    <r>
      <t xml:space="preserve">□ </t>
    </r>
    <r>
      <rPr>
        <sz val="11"/>
        <color theme="1"/>
        <rFont val="Calibri"/>
        <family val="2"/>
        <scheme val="minor"/>
      </rPr>
      <t>Directeur Département</t>
    </r>
  </si>
  <si>
    <t>à peser</t>
  </si>
  <si>
    <t>Cooling</t>
  </si>
  <si>
    <t>Radiateur</t>
  </si>
  <si>
    <t>Ventilateur</t>
  </si>
  <si>
    <t>couvercle calorstat</t>
  </si>
  <si>
    <t>Fasterners</t>
  </si>
  <si>
    <t>Collier de serrage</t>
  </si>
  <si>
    <t>Vis M6</t>
  </si>
  <si>
    <t>Durites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</si>
</sst>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color theme="9"/>
      <name val="Century Gothic"/>
      <family val="2"/>
    </font>
    <font>
      <b/>
      <sz val="11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8B8B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auto="1"/>
      </bottom>
      <diagonal/>
    </border>
    <border>
      <left style="thick">
        <color indexed="64"/>
      </left>
      <right/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hair">
        <color auto="1"/>
      </top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2" fillId="0" borderId="5" xfId="0" applyFont="1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/>
    <xf numFmtId="0" fontId="5" fillId="0" borderId="5" xfId="0" applyFont="1" applyBorder="1"/>
    <xf numFmtId="0" fontId="11" fillId="0" borderId="12" xfId="0" applyFont="1" applyBorder="1"/>
    <xf numFmtId="0" fontId="11" fillId="0" borderId="5" xfId="0" applyFont="1" applyBorder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ill="1" applyBorder="1"/>
    <xf numFmtId="0" fontId="10" fillId="5" borderId="15" xfId="0" applyFont="1" applyFill="1" applyBorder="1"/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0" fillId="6" borderId="15" xfId="0" applyFont="1" applyFill="1" applyBorder="1"/>
    <xf numFmtId="0" fontId="14" fillId="0" borderId="0" xfId="0" applyFont="1"/>
    <xf numFmtId="0" fontId="13" fillId="0" borderId="0" xfId="0" applyFont="1"/>
    <xf numFmtId="0" fontId="11" fillId="0" borderId="3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5" xfId="0" applyFill="1" applyBorder="1"/>
    <xf numFmtId="0" fontId="0" fillId="7" borderId="4" xfId="0" applyFill="1" applyBorder="1"/>
    <xf numFmtId="0" fontId="0" fillId="7" borderId="6" xfId="0" applyFill="1" applyBorder="1"/>
    <xf numFmtId="0" fontId="11" fillId="0" borderId="16" xfId="0" applyFont="1" applyBorder="1"/>
    <xf numFmtId="0" fontId="0" fillId="0" borderId="16" xfId="0" applyBorder="1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0" fillId="7" borderId="20" xfId="0" applyFill="1" applyBorder="1"/>
    <xf numFmtId="0" fontId="0" fillId="0" borderId="20" xfId="0" applyBorder="1"/>
    <xf numFmtId="0" fontId="17" fillId="0" borderId="19" xfId="0" applyFont="1" applyBorder="1"/>
    <xf numFmtId="0" fontId="18" fillId="0" borderId="0" xfId="0" applyFont="1"/>
    <xf numFmtId="0" fontId="16" fillId="8" borderId="15" xfId="0" applyFont="1" applyFill="1" applyBorder="1"/>
    <xf numFmtId="0" fontId="19" fillId="0" borderId="18" xfId="0" applyFont="1" applyBorder="1"/>
    <xf numFmtId="0" fontId="19" fillId="0" borderId="15" xfId="0" applyFont="1" applyBorder="1"/>
    <xf numFmtId="0" fontId="2" fillId="0" borderId="11" xfId="0" applyFont="1" applyBorder="1"/>
    <xf numFmtId="0" fontId="2" fillId="0" borderId="9" xfId="0" applyFont="1" applyBorder="1"/>
    <xf numFmtId="0" fontId="1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0" fillId="0" borderId="3" xfId="0" applyFont="1" applyBorder="1"/>
    <xf numFmtId="0" fontId="6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11" xfId="0" applyFont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/>
    <xf numFmtId="0" fontId="11" fillId="0" borderId="13" xfId="0" applyFont="1" applyBorder="1"/>
    <xf numFmtId="0" fontId="11" fillId="0" borderId="3" xfId="0" applyFont="1" applyBorder="1"/>
    <xf numFmtId="0" fontId="11" fillId="0" borderId="16" xfId="0" applyFont="1" applyBorder="1"/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4" fillId="0" borderId="3" xfId="0" applyFont="1" applyBorder="1"/>
    <xf numFmtId="0" fontId="13" fillId="0" borderId="3" xfId="0" applyFont="1" applyBorder="1"/>
    <xf numFmtId="0" fontId="13" fillId="0" borderId="16" xfId="0" applyFont="1" applyBorder="1"/>
    <xf numFmtId="0" fontId="0" fillId="0" borderId="3" xfId="0" applyBorder="1"/>
    <xf numFmtId="0" fontId="0" fillId="0" borderId="16" xfId="0" applyBorder="1"/>
    <xf numFmtId="0" fontId="11" fillId="0" borderId="2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11" fillId="0" borderId="21" xfId="0" applyFont="1" applyBorder="1" applyAlignment="1">
      <alignment horizontal="right" vertical="center"/>
    </xf>
    <xf numFmtId="0" fontId="11" fillId="0" borderId="5" xfId="0" applyFont="1" applyBorder="1" applyAlignment="1">
      <alignment horizontal="righ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Statistique_Kit!$A$5:$A$23</c:f>
              <c:strCache>
                <c:ptCount val="19"/>
                <c:pt idx="0">
                  <c:v>Châssis</c:v>
                </c:pt>
                <c:pt idx="1">
                  <c:v>Carrosserie</c:v>
                </c:pt>
                <c:pt idx="2">
                  <c:v>Ergonomie</c:v>
                </c:pt>
                <c:pt idx="3">
                  <c:v>Pédalier</c:v>
                </c:pt>
                <c:pt idx="4">
                  <c:v>Direction (Steering)</c:v>
                </c:pt>
                <c:pt idx="5">
                  <c:v>Suspension</c:v>
                </c:pt>
                <c:pt idx="6">
                  <c:v>roues equipées</c:v>
                </c:pt>
                <c:pt idx="7">
                  <c:v>chapes_assy</c:v>
                </c:pt>
                <c:pt idx="8">
                  <c:v>Barre anti-roulis</c:v>
                </c:pt>
                <c:pt idx="9">
                  <c:v>Système de freinage</c:v>
                </c:pt>
                <c:pt idx="10">
                  <c:v>Moteur</c:v>
                </c:pt>
                <c:pt idx="11">
                  <c:v>Transmission Secondaire</c:v>
                </c:pt>
                <c:pt idx="12">
                  <c:v>Circuit de Carburant</c:v>
                </c:pt>
                <c:pt idx="13">
                  <c:v>Admission (Intake)</c:v>
                </c:pt>
                <c:pt idx="14">
                  <c:v>Echappement </c:v>
                </c:pt>
                <c:pt idx="15">
                  <c:v>Cooling</c:v>
                </c:pt>
                <c:pt idx="16">
                  <c:v>Tableau de bord</c:v>
                </c:pt>
                <c:pt idx="17">
                  <c:v>Carte arrière</c:v>
                </c:pt>
                <c:pt idx="18">
                  <c:v>Carte avant</c:v>
                </c:pt>
              </c:strCache>
            </c:strRef>
          </c:cat>
          <c:val>
            <c:numRef>
              <c:f>Statistique_Kit!$D$5:$D$23</c:f>
              <c:numCache>
                <c:formatCode>General</c:formatCode>
                <c:ptCount val="19"/>
                <c:pt idx="0">
                  <c:v>37000</c:v>
                </c:pt>
                <c:pt idx="1">
                  <c:v>2000</c:v>
                </c:pt>
                <c:pt idx="2">
                  <c:v>1411</c:v>
                </c:pt>
                <c:pt idx="3">
                  <c:v>100</c:v>
                </c:pt>
                <c:pt idx="4">
                  <c:v>1645</c:v>
                </c:pt>
                <c:pt idx="5">
                  <c:v>1576</c:v>
                </c:pt>
                <c:pt idx="6">
                  <c:v>34361</c:v>
                </c:pt>
                <c:pt idx="7">
                  <c:v>1602</c:v>
                </c:pt>
                <c:pt idx="8">
                  <c:v>1349</c:v>
                </c:pt>
                <c:pt idx="9">
                  <c:v>5146</c:v>
                </c:pt>
                <c:pt idx="10">
                  <c:v>56900</c:v>
                </c:pt>
                <c:pt idx="11">
                  <c:v>11608</c:v>
                </c:pt>
                <c:pt idx="12">
                  <c:v>0</c:v>
                </c:pt>
                <c:pt idx="13">
                  <c:v>1368</c:v>
                </c:pt>
                <c:pt idx="14">
                  <c:v>4166</c:v>
                </c:pt>
                <c:pt idx="15">
                  <c:v>2837</c:v>
                </c:pt>
                <c:pt idx="16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C-45AE-89DC-B7D64D88FD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463789824"/>
        <c:axId val="463789496"/>
      </c:barChart>
      <c:catAx>
        <c:axId val="463789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3789496"/>
        <c:crosses val="autoZero"/>
        <c:auto val="1"/>
        <c:lblAlgn val="ctr"/>
        <c:lblOffset val="100"/>
        <c:noMultiLvlLbl val="0"/>
      </c:catAx>
      <c:valAx>
        <c:axId val="46378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378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25</xdr:row>
      <xdr:rowOff>158750</xdr:rowOff>
    </xdr:from>
    <xdr:to>
      <xdr:col>5</xdr:col>
      <xdr:colOff>704850</xdr:colOff>
      <xdr:row>44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79DF062-7954-4E44-8750-1BCCECECA9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F25"/>
  <sheetViews>
    <sheetView showGridLines="0" tabSelected="1" view="pageLayout" topLeftCell="A10" zoomScaleNormal="100" workbookViewId="0">
      <selection activeCell="C48" sqref="C48"/>
    </sheetView>
  </sheetViews>
  <sheetFormatPr baseColWidth="10" defaultColWidth="10.81640625" defaultRowHeight="14.5" x14ac:dyDescent="0.35"/>
  <cols>
    <col min="1" max="1" width="20.81640625" customWidth="1"/>
    <col min="2" max="2" width="26" customWidth="1"/>
    <col min="4" max="5" width="8.81640625" customWidth="1"/>
    <col min="8" max="8" width="16.453125" customWidth="1"/>
  </cols>
  <sheetData>
    <row r="2" spans="1:6" x14ac:dyDescent="0.35">
      <c r="A2" s="24" t="s">
        <v>131</v>
      </c>
      <c r="B2" s="30" t="s">
        <v>132</v>
      </c>
    </row>
    <row r="4" spans="1:6" x14ac:dyDescent="0.35">
      <c r="A4" s="26" t="s">
        <v>133</v>
      </c>
      <c r="B4" s="26" t="s">
        <v>134</v>
      </c>
      <c r="C4" s="26" t="s">
        <v>135</v>
      </c>
      <c r="D4" s="26" t="s">
        <v>289</v>
      </c>
      <c r="E4" s="26" t="s">
        <v>230</v>
      </c>
      <c r="F4" s="26" t="s">
        <v>136</v>
      </c>
    </row>
    <row r="5" spans="1:6" x14ac:dyDescent="0.35">
      <c r="A5" s="28" t="str">
        <f>Kit_Chassis!B1</f>
        <v>Châssis</v>
      </c>
      <c r="B5" s="25" t="str">
        <f>Kit_Chassis!E3</f>
        <v>RCS</v>
      </c>
      <c r="C5" s="25">
        <f>Kit_Chassis!H1</f>
        <v>1</v>
      </c>
      <c r="D5" s="25">
        <f>Kit_Chassis!H4</f>
        <v>37000</v>
      </c>
      <c r="E5" s="25" t="str">
        <f>Kit_Chassis!H3</f>
        <v>NOK</v>
      </c>
      <c r="F5" s="31"/>
    </row>
    <row r="6" spans="1:6" x14ac:dyDescent="0.35">
      <c r="A6" s="28" t="str">
        <f>Kit_Carrosserie!B1</f>
        <v>Carrosserie</v>
      </c>
      <c r="B6" s="25" t="str">
        <f>Kit_Carrosserie!E3</f>
        <v xml:space="preserve">Josselin KIEFEL </v>
      </c>
      <c r="C6" s="25">
        <f>Kit_Carrosserie!H1</f>
        <v>22</v>
      </c>
      <c r="D6" s="25">
        <f>Kit_Carrosserie!H4</f>
        <v>2000</v>
      </c>
      <c r="E6" s="25" t="str">
        <f>Kit_Carrosserie!H3</f>
        <v>NOK</v>
      </c>
      <c r="F6" s="31"/>
    </row>
    <row r="7" spans="1:6" x14ac:dyDescent="0.35">
      <c r="A7" s="28" t="str">
        <f>Kit_Ergonomie!B1</f>
        <v>Ergonomie</v>
      </c>
      <c r="B7" s="25" t="str">
        <f>Kit_Ergonomie!E3</f>
        <v>Yohan Reguiai</v>
      </c>
      <c r="C7" s="25">
        <f>Kit_Ergonomie!H1</f>
        <v>44</v>
      </c>
      <c r="D7" s="25">
        <f>Kit_Ergonomie!H4</f>
        <v>1411</v>
      </c>
      <c r="E7" s="25" t="str">
        <f>Kit_Ergonomie!H3</f>
        <v>NOK</v>
      </c>
      <c r="F7" s="31"/>
    </row>
    <row r="8" spans="1:6" x14ac:dyDescent="0.35">
      <c r="A8" s="27" t="str">
        <f>Kit_Pédalier!B1</f>
        <v>Pédalier</v>
      </c>
      <c r="B8" s="25" t="str">
        <f>Kit_Pédalier!E3</f>
        <v>BDE</v>
      </c>
      <c r="C8" s="25">
        <f>Kit_Pédalier!H1</f>
        <v>85</v>
      </c>
      <c r="D8" s="25">
        <f>Kit_Pédalier!H4</f>
        <v>100</v>
      </c>
      <c r="E8" s="25" t="str">
        <f>Kit_Pédalier!H3</f>
        <v>OK</v>
      </c>
      <c r="F8" s="31"/>
    </row>
    <row r="9" spans="1:6" x14ac:dyDescent="0.35">
      <c r="A9" s="27" t="str">
        <f>Kit_Direction!B1</f>
        <v>Direction (Steering)</v>
      </c>
      <c r="B9" s="25" t="str">
        <f>Kit_Direction!E3</f>
        <v>Erwan de Longcamp (EDP)</v>
      </c>
      <c r="C9" s="25">
        <f>Kit_Direction!H1</f>
        <v>39</v>
      </c>
      <c r="D9" s="25">
        <f>Kit_Direction!H4</f>
        <v>1645</v>
      </c>
      <c r="E9" s="25" t="str">
        <f>Kit_Direction!H3</f>
        <v>NOK</v>
      </c>
      <c r="F9" s="31"/>
    </row>
    <row r="10" spans="1:6" x14ac:dyDescent="0.35">
      <c r="A10" s="27" t="str">
        <f>Kit_Suspension!B1</f>
        <v>Suspension</v>
      </c>
      <c r="B10" s="25" t="str">
        <f>Kit_Suspension!E3</f>
        <v>PCT</v>
      </c>
      <c r="C10" s="25">
        <f>Kit_Suspension!H1</f>
        <v>44</v>
      </c>
      <c r="D10" s="25">
        <f>Kit_Suspension!H4</f>
        <v>1576</v>
      </c>
      <c r="E10" s="25" t="str">
        <f>Kit_Suspension!H3</f>
        <v>NOK</v>
      </c>
      <c r="F10" s="31"/>
    </row>
    <row r="11" spans="1:6" x14ac:dyDescent="0.35">
      <c r="A11" s="27" t="str">
        <f>'Kit_Roues équipées'!B1</f>
        <v>roues equipées</v>
      </c>
      <c r="B11" s="25" t="str">
        <f>'Kit_Roues équipées'!E3</f>
        <v>SCHIO michele</v>
      </c>
      <c r="C11" s="25">
        <f>'Kit_Roues équipées'!H1</f>
        <v>280</v>
      </c>
      <c r="D11" s="25">
        <f>'Kit_Roues équipées'!H4</f>
        <v>34361</v>
      </c>
      <c r="E11" s="25" t="str">
        <f>'Kit_Roues équipées'!H3</f>
        <v>OK</v>
      </c>
      <c r="F11" s="31"/>
    </row>
    <row r="12" spans="1:6" x14ac:dyDescent="0.35">
      <c r="A12" s="27" t="str">
        <f>Kit_Triangles!B1</f>
        <v>chapes_assy</v>
      </c>
      <c r="B12" s="25" t="str">
        <f>Kit_Triangles!E3</f>
        <v xml:space="preserve">Martin KAWCZYNSKY </v>
      </c>
      <c r="C12" s="25">
        <f>Kit_Triangles!$H1</f>
        <v>122</v>
      </c>
      <c r="D12" s="25">
        <f>Kit_Triangles!H4</f>
        <v>1602</v>
      </c>
      <c r="E12" s="25" t="str">
        <f>Kit_Triangles!H3</f>
        <v>NOK</v>
      </c>
      <c r="F12" s="31"/>
    </row>
    <row r="13" spans="1:6" x14ac:dyDescent="0.35">
      <c r="A13" s="27" t="str">
        <f>Kit_BAR!B1</f>
        <v>Barre anti-roulis</v>
      </c>
      <c r="B13" s="25" t="str">
        <f>Kit_BAR!E3</f>
        <v>Erwan de Longcamp</v>
      </c>
      <c r="C13" s="25">
        <f>Kit_BAR!H1</f>
        <v>64</v>
      </c>
      <c r="D13" s="25">
        <f>Kit_BAR!H4</f>
        <v>1349</v>
      </c>
      <c r="E13" s="25" t="str">
        <f>Kit_BAR!H3</f>
        <v>NOK</v>
      </c>
      <c r="F13" s="31"/>
    </row>
    <row r="14" spans="1:6" x14ac:dyDescent="0.35">
      <c r="A14" s="27" t="str">
        <f>Kit_Freinage!B1</f>
        <v>Système de freinage</v>
      </c>
      <c r="B14" s="25" t="str">
        <f>Kit_Freinage!E3</f>
        <v>Erwan de Longcamp</v>
      </c>
      <c r="C14" s="25">
        <f>Kit_Freinage!H1</f>
        <v>89</v>
      </c>
      <c r="D14" s="25">
        <f>Kit_Freinage!H4</f>
        <v>5146</v>
      </c>
      <c r="E14" s="25" t="str">
        <f>Kit_Freinage!H3</f>
        <v>NOK</v>
      </c>
      <c r="F14" s="31"/>
    </row>
    <row r="15" spans="1:6" x14ac:dyDescent="0.35">
      <c r="A15" s="29" t="str">
        <f>Kit__Moteur!B1</f>
        <v>Moteur</v>
      </c>
      <c r="B15" s="25" t="str">
        <f>Kit__Moteur!E3</f>
        <v>MPL</v>
      </c>
      <c r="C15" s="25"/>
      <c r="D15" s="25">
        <f>Kit__Moteur!H4</f>
        <v>56900</v>
      </c>
      <c r="E15" s="25"/>
      <c r="F15" s="31"/>
    </row>
    <row r="16" spans="1:6" x14ac:dyDescent="0.35">
      <c r="A16" s="29" t="str">
        <f>Kit__Transm_Sec!B1</f>
        <v>Transmission Secondaire</v>
      </c>
      <c r="B16" s="25" t="str">
        <f>Kit__Transm_Sec!E3</f>
        <v>MPY</v>
      </c>
      <c r="C16" s="25">
        <f>Kit__Transm_Sec!H1</f>
        <v>112</v>
      </c>
      <c r="D16" s="25">
        <f>Kit__Transm_Sec!H4</f>
        <v>11608</v>
      </c>
      <c r="E16" s="25" t="str">
        <f>Kit__Transm_Sec!H3</f>
        <v>NOK</v>
      </c>
      <c r="F16" s="31"/>
    </row>
    <row r="17" spans="1:6" x14ac:dyDescent="0.35">
      <c r="A17" s="29" t="str">
        <f>Kit_CircuitCarburant!B1</f>
        <v>Circuit de Carburant</v>
      </c>
      <c r="B17" s="25" t="str">
        <f>Kit_CircuitCarburant!E3</f>
        <v>BVL</v>
      </c>
      <c r="C17" s="25">
        <f>Kit_CircuitCarburant!H1</f>
        <v>52</v>
      </c>
      <c r="D17" s="25">
        <f>Kit_CircuitCarburant!H4</f>
        <v>0</v>
      </c>
      <c r="E17" s="25" t="str">
        <f>Kit_CircuitCarburant!H3</f>
        <v>NOK</v>
      </c>
      <c r="F17" s="31"/>
    </row>
    <row r="18" spans="1:6" x14ac:dyDescent="0.35">
      <c r="A18" s="29" t="str">
        <f>Kit_Admission!B1</f>
        <v>Admission (Intake)</v>
      </c>
      <c r="B18" s="25" t="str">
        <f>Kit_Admission!E3</f>
        <v>Clement Emerique</v>
      </c>
      <c r="C18" s="25">
        <f>Kit_Admission!H1</f>
        <v>136</v>
      </c>
      <c r="D18" s="25">
        <f>Kit_Admission!H4</f>
        <v>1368</v>
      </c>
      <c r="E18" s="25" t="str">
        <f>Kit_Admission!H3</f>
        <v>NOK</v>
      </c>
      <c r="F18" s="31"/>
    </row>
    <row r="19" spans="1:6" x14ac:dyDescent="0.35">
      <c r="A19" s="29" t="str">
        <f>Kit_Echappement!B1</f>
        <v xml:space="preserve">Echappement </v>
      </c>
      <c r="B19" s="25" t="str">
        <f>Kit_Echappement!E3</f>
        <v>Clement Emerique</v>
      </c>
      <c r="C19" s="25">
        <f>Kit_Echappement!H1</f>
        <v>12</v>
      </c>
      <c r="D19" s="25">
        <f>Kit_Echappement!H4</f>
        <v>4166</v>
      </c>
      <c r="E19" s="25" t="str">
        <f>Kit_Echappement!H3</f>
        <v>OK</v>
      </c>
      <c r="F19" s="31"/>
    </row>
    <row r="20" spans="1:6" x14ac:dyDescent="0.35">
      <c r="A20" s="29" t="str">
        <f>Kit_Cooling!B1</f>
        <v>Cooling</v>
      </c>
      <c r="B20" s="25" t="str">
        <f>Kit_Cooling!E3</f>
        <v>MPL</v>
      </c>
      <c r="C20" s="25">
        <f>Kit_Cooling!H1</f>
        <v>2</v>
      </c>
      <c r="D20" s="25">
        <f>Kit_Cooling!H4</f>
        <v>2837</v>
      </c>
      <c r="E20" s="25" t="str">
        <f>Kit_Cooling!H3</f>
        <v>OK</v>
      </c>
      <c r="F20" s="31"/>
    </row>
    <row r="21" spans="1:6" x14ac:dyDescent="0.35">
      <c r="A21" s="32" t="s">
        <v>142</v>
      </c>
      <c r="B21" s="25" t="s">
        <v>145</v>
      </c>
      <c r="C21" s="25"/>
      <c r="D21" s="66">
        <v>10000</v>
      </c>
      <c r="E21" s="25"/>
      <c r="F21" s="31"/>
    </row>
    <row r="22" spans="1:6" x14ac:dyDescent="0.35">
      <c r="A22" s="32" t="s">
        <v>144</v>
      </c>
      <c r="B22" s="25" t="s">
        <v>145</v>
      </c>
      <c r="C22" s="25"/>
      <c r="D22" s="25"/>
      <c r="E22" s="25"/>
      <c r="F22" s="31"/>
    </row>
    <row r="23" spans="1:6" x14ac:dyDescent="0.35">
      <c r="A23" s="32" t="s">
        <v>143</v>
      </c>
      <c r="B23" s="25" t="s">
        <v>145</v>
      </c>
      <c r="C23" s="25"/>
      <c r="D23" s="25"/>
      <c r="E23" s="25"/>
      <c r="F23" s="31"/>
    </row>
    <row r="24" spans="1:6" x14ac:dyDescent="0.35">
      <c r="B24" s="26" t="s">
        <v>141</v>
      </c>
      <c r="C24" s="25">
        <f>SUM(C6:C23)</f>
        <v>1103</v>
      </c>
      <c r="D24" s="64">
        <f>SUM(D5:D23)*0.001</f>
        <v>173.06900000000002</v>
      </c>
      <c r="E24" t="s">
        <v>391</v>
      </c>
    </row>
    <row r="25" spans="1:6" x14ac:dyDescent="0.35">
      <c r="C25" t="s">
        <v>387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8"/>
      <c r="C1" s="78"/>
      <c r="D1" s="78"/>
      <c r="E1" s="78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79" t="s">
        <v>1</v>
      </c>
      <c r="B3" s="79"/>
      <c r="C3" s="80"/>
      <c r="D3" s="80"/>
      <c r="E3" s="18"/>
    </row>
    <row r="5" spans="1:9" s="3" customFormat="1" ht="49.5" customHeight="1" thickBot="1" x14ac:dyDescent="0.65">
      <c r="A5" s="73" t="s">
        <v>2</v>
      </c>
      <c r="B5" s="73"/>
      <c r="C5" s="73"/>
      <c r="D5" s="74"/>
      <c r="E5" s="7" t="s">
        <v>10</v>
      </c>
      <c r="F5" s="75" t="s">
        <v>7</v>
      </c>
      <c r="G5" s="76"/>
      <c r="H5" s="76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73" t="s">
        <v>3</v>
      </c>
      <c r="B27" s="74"/>
      <c r="C27" s="73"/>
      <c r="D27" s="74"/>
      <c r="E27" s="10" t="s">
        <v>10</v>
      </c>
      <c r="F27" s="75" t="s">
        <v>7</v>
      </c>
      <c r="G27" s="76"/>
      <c r="H27" s="76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77" t="s">
        <v>5</v>
      </c>
      <c r="H28" s="77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72" t="s">
        <v>5</v>
      </c>
      <c r="H29" s="72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72" t="s">
        <v>5</v>
      </c>
      <c r="H30" s="72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72" t="s">
        <v>5</v>
      </c>
      <c r="H31" s="72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72" t="s">
        <v>5</v>
      </c>
      <c r="H32" s="72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72" t="s">
        <v>5</v>
      </c>
      <c r="H33" s="72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8"/>
      <c r="C1" s="78"/>
      <c r="D1" s="78"/>
      <c r="E1" s="78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79" t="s">
        <v>1</v>
      </c>
      <c r="B3" s="79"/>
      <c r="C3" s="80"/>
      <c r="D3" s="80"/>
      <c r="E3" s="18"/>
    </row>
    <row r="5" spans="1:9" s="3" customFormat="1" ht="49.5" customHeight="1" thickBot="1" x14ac:dyDescent="0.65">
      <c r="A5" s="73" t="s">
        <v>2</v>
      </c>
      <c r="B5" s="73"/>
      <c r="C5" s="73"/>
      <c r="D5" s="74"/>
      <c r="E5" s="7" t="s">
        <v>10</v>
      </c>
      <c r="F5" s="75" t="s">
        <v>7</v>
      </c>
      <c r="G5" s="76"/>
      <c r="H5" s="76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73" t="s">
        <v>3</v>
      </c>
      <c r="B27" s="74"/>
      <c r="C27" s="73"/>
      <c r="D27" s="74"/>
      <c r="E27" s="10" t="s">
        <v>10</v>
      </c>
      <c r="F27" s="75" t="s">
        <v>7</v>
      </c>
      <c r="G27" s="76"/>
      <c r="H27" s="76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77" t="s">
        <v>5</v>
      </c>
      <c r="H28" s="77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72" t="s">
        <v>5</v>
      </c>
      <c r="H29" s="72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72" t="s">
        <v>5</v>
      </c>
      <c r="H30" s="72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72" t="s">
        <v>5</v>
      </c>
      <c r="H31" s="72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72" t="s">
        <v>5</v>
      </c>
      <c r="H32" s="72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72" t="s">
        <v>5</v>
      </c>
      <c r="H33" s="72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19317-07E2-4F86-900C-9EFCCD0BACC8}">
  <sheetPr codeName="Feuil18">
    <tabColor rgb="FFFFFF00"/>
  </sheetPr>
  <dimension ref="A1:J35"/>
  <sheetViews>
    <sheetView showGridLines="0" view="pageLayout" zoomScaleNormal="100" workbookViewId="0">
      <selection activeCell="E29" sqref="E29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7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8.26953125" customWidth="1"/>
  </cols>
  <sheetData>
    <row r="1" spans="1:10" ht="26" x14ac:dyDescent="0.6">
      <c r="A1" s="2" t="s">
        <v>0</v>
      </c>
      <c r="B1" s="78" t="s">
        <v>393</v>
      </c>
      <c r="C1" s="78"/>
      <c r="D1" s="78"/>
      <c r="E1" s="78"/>
      <c r="F1" s="1"/>
      <c r="G1" s="3" t="s">
        <v>4</v>
      </c>
      <c r="H1" s="2">
        <f>SUM(E6:E25)</f>
        <v>1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394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37000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53" t="s">
        <v>289</v>
      </c>
    </row>
    <row r="6" spans="1:10" s="3" customFormat="1" ht="19.75" customHeight="1" thickTop="1" x14ac:dyDescent="0.6">
      <c r="A6" s="22"/>
      <c r="B6" s="22"/>
      <c r="C6" s="22" t="s">
        <v>392</v>
      </c>
      <c r="D6" s="36"/>
      <c r="E6" s="39">
        <v>1</v>
      </c>
      <c r="F6" s="13" t="s">
        <v>288</v>
      </c>
      <c r="G6" s="14" t="s">
        <v>5</v>
      </c>
      <c r="H6" s="14" t="s">
        <v>9</v>
      </c>
      <c r="I6" s="14" t="s">
        <v>6</v>
      </c>
      <c r="J6" s="65">
        <f>37000</f>
        <v>37000</v>
      </c>
    </row>
    <row r="7" spans="1:10" ht="19.75" customHeight="1" x14ac:dyDescent="0.6">
      <c r="A7" s="35"/>
      <c r="B7" s="35"/>
      <c r="C7" s="35"/>
      <c r="D7" s="49"/>
      <c r="E7" s="40"/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35"/>
      <c r="B8" s="35"/>
      <c r="C8" s="35"/>
      <c r="D8" s="49"/>
      <c r="E8" s="41"/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35"/>
      <c r="B9" s="35"/>
      <c r="C9" s="35"/>
      <c r="D9" s="49"/>
      <c r="E9" s="41"/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35"/>
      <c r="B10" s="35"/>
      <c r="C10" s="35"/>
      <c r="D10" s="49"/>
      <c r="E10" s="41"/>
      <c r="F10" s="12" t="s">
        <v>288</v>
      </c>
      <c r="G10" s="11" t="s">
        <v>5</v>
      </c>
      <c r="H10" s="11" t="s">
        <v>9</v>
      </c>
      <c r="I10" s="11" t="s">
        <v>6</v>
      </c>
      <c r="J10" s="62"/>
    </row>
    <row r="11" spans="1:10" ht="19.75" customHeight="1" x14ac:dyDescent="0.6">
      <c r="A11" s="4"/>
      <c r="B11" s="4"/>
      <c r="C11" s="4"/>
      <c r="D11" s="4"/>
      <c r="E11" s="5"/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3" t="s">
        <v>3</v>
      </c>
      <c r="B27" s="74"/>
      <c r="C27" s="73"/>
      <c r="D27" s="74"/>
      <c r="E27" s="10" t="s">
        <v>10</v>
      </c>
      <c r="F27" s="75" t="s">
        <v>7</v>
      </c>
      <c r="G27" s="76"/>
      <c r="H27" s="76"/>
      <c r="I27" s="3"/>
    </row>
    <row r="28" spans="1:10" ht="19.75" customHeight="1" thickTop="1" x14ac:dyDescent="0.6">
      <c r="A28" s="81"/>
      <c r="B28" s="81"/>
      <c r="C28" s="81"/>
      <c r="D28" s="82"/>
      <c r="E28" s="23"/>
      <c r="F28" s="13" t="s">
        <v>11</v>
      </c>
      <c r="G28" s="77" t="s">
        <v>5</v>
      </c>
      <c r="H28" s="77"/>
      <c r="I28" s="14" t="s">
        <v>6</v>
      </c>
    </row>
    <row r="29" spans="1:10" ht="19.75" customHeight="1" x14ac:dyDescent="0.6">
      <c r="A29" s="83"/>
      <c r="B29" s="83"/>
      <c r="C29" s="83"/>
      <c r="D29" s="84"/>
      <c r="E29" s="23"/>
      <c r="F29" s="12" t="s">
        <v>11</v>
      </c>
      <c r="G29" s="72" t="s">
        <v>5</v>
      </c>
      <c r="H29" s="72"/>
      <c r="I29" s="11" t="s">
        <v>6</v>
      </c>
    </row>
    <row r="30" spans="1:10" ht="19.75" customHeight="1" x14ac:dyDescent="0.6">
      <c r="A30" s="8"/>
      <c r="B30" s="8"/>
      <c r="C30" s="8"/>
      <c r="D30" s="17"/>
      <c r="E30" s="8"/>
      <c r="F30" s="12" t="s">
        <v>11</v>
      </c>
      <c r="G30" s="72" t="s">
        <v>5</v>
      </c>
      <c r="H30" s="72"/>
      <c r="I30" s="11" t="s">
        <v>6</v>
      </c>
    </row>
    <row r="31" spans="1:10" ht="19.75" customHeight="1" x14ac:dyDescent="0.6">
      <c r="A31" s="8"/>
      <c r="B31" s="8"/>
      <c r="C31" s="8"/>
      <c r="D31" s="17"/>
      <c r="E31" s="8"/>
      <c r="F31" s="12" t="s">
        <v>11</v>
      </c>
      <c r="G31" s="72" t="s">
        <v>5</v>
      </c>
      <c r="H31" s="72"/>
      <c r="I31" s="11" t="s">
        <v>6</v>
      </c>
    </row>
    <row r="32" spans="1:10" ht="19.75" customHeight="1" x14ac:dyDescent="0.6">
      <c r="A32" s="8"/>
      <c r="B32" s="8"/>
      <c r="C32" s="8"/>
      <c r="D32" s="17"/>
      <c r="E32" s="8"/>
      <c r="F32" s="12" t="s">
        <v>11</v>
      </c>
      <c r="G32" s="72" t="s">
        <v>5</v>
      </c>
      <c r="H32" s="72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72" t="s">
        <v>5</v>
      </c>
      <c r="H33" s="72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J35"/>
  <sheetViews>
    <sheetView showGridLines="0" view="pageLayout" zoomScaleNormal="100" workbookViewId="0">
      <selection activeCell="J12" sqref="J12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7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8.26953125" customWidth="1"/>
  </cols>
  <sheetData>
    <row r="1" spans="1:10" ht="26" x14ac:dyDescent="0.6">
      <c r="A1" s="2" t="s">
        <v>0</v>
      </c>
      <c r="B1" s="78" t="s">
        <v>17</v>
      </c>
      <c r="C1" s="78"/>
      <c r="D1" s="78"/>
      <c r="E1" s="78"/>
      <c r="F1" s="1"/>
      <c r="G1" s="3" t="s">
        <v>4</v>
      </c>
      <c r="H1" s="2">
        <f>SUM(E6:E25)</f>
        <v>22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137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2000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53" t="s">
        <v>289</v>
      </c>
    </row>
    <row r="6" spans="1:10" s="3" customFormat="1" ht="19.75" customHeight="1" thickTop="1" x14ac:dyDescent="0.6">
      <c r="A6" s="22"/>
      <c r="B6" s="22"/>
      <c r="C6" s="22" t="s">
        <v>18</v>
      </c>
      <c r="D6" s="36"/>
      <c r="E6" s="39">
        <v>4</v>
      </c>
      <c r="F6" s="13" t="s">
        <v>288</v>
      </c>
      <c r="G6" s="14" t="s">
        <v>5</v>
      </c>
      <c r="H6" s="14" t="s">
        <v>9</v>
      </c>
      <c r="I6" s="14" t="s">
        <v>6</v>
      </c>
      <c r="J6" s="54"/>
    </row>
    <row r="7" spans="1:10" ht="19.75" customHeight="1" x14ac:dyDescent="0.6">
      <c r="A7" s="35"/>
      <c r="B7" s="35"/>
      <c r="C7" s="35" t="s">
        <v>19</v>
      </c>
      <c r="D7" s="49"/>
      <c r="E7" s="40">
        <v>4</v>
      </c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35"/>
      <c r="B8" s="35"/>
      <c r="C8" s="35" t="s">
        <v>22</v>
      </c>
      <c r="D8" s="49"/>
      <c r="E8" s="41">
        <v>5</v>
      </c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35"/>
      <c r="B9" s="35"/>
      <c r="C9" s="35" t="s">
        <v>23</v>
      </c>
      <c r="D9" s="49"/>
      <c r="E9" s="41">
        <v>8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35"/>
      <c r="B10" s="35"/>
      <c r="C10" s="35" t="s">
        <v>24</v>
      </c>
      <c r="D10" s="49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62">
        <v>2000</v>
      </c>
    </row>
    <row r="11" spans="1:10" ht="19.75" customHeight="1" x14ac:dyDescent="0.6">
      <c r="A11" s="4"/>
      <c r="B11" s="4"/>
      <c r="C11" s="4"/>
      <c r="D11" s="4"/>
      <c r="E11" s="5"/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3" t="s">
        <v>3</v>
      </c>
      <c r="B27" s="74"/>
      <c r="C27" s="73"/>
      <c r="D27" s="74"/>
      <c r="E27" s="10" t="s">
        <v>10</v>
      </c>
      <c r="F27" s="75" t="s">
        <v>7</v>
      </c>
      <c r="G27" s="76"/>
      <c r="H27" s="76"/>
      <c r="I27" s="3"/>
    </row>
    <row r="28" spans="1:10" ht="19.75" customHeight="1" thickTop="1" x14ac:dyDescent="0.6">
      <c r="A28" s="81" t="s">
        <v>20</v>
      </c>
      <c r="B28" s="81"/>
      <c r="C28" s="81"/>
      <c r="D28" s="82"/>
      <c r="E28" s="23">
        <v>8</v>
      </c>
      <c r="F28" s="13" t="s">
        <v>11</v>
      </c>
      <c r="G28" s="77" t="s">
        <v>5</v>
      </c>
      <c r="H28" s="77"/>
      <c r="I28" s="14" t="s">
        <v>6</v>
      </c>
    </row>
    <row r="29" spans="1:10" ht="19.75" customHeight="1" x14ac:dyDescent="0.6">
      <c r="A29" s="83" t="s">
        <v>21</v>
      </c>
      <c r="B29" s="83"/>
      <c r="C29" s="83"/>
      <c r="D29" s="84"/>
      <c r="E29" s="23">
        <v>8</v>
      </c>
      <c r="F29" s="12" t="s">
        <v>11</v>
      </c>
      <c r="G29" s="72" t="s">
        <v>5</v>
      </c>
      <c r="H29" s="72"/>
      <c r="I29" s="11" t="s">
        <v>6</v>
      </c>
    </row>
    <row r="30" spans="1:10" ht="19.75" customHeight="1" x14ac:dyDescent="0.6">
      <c r="A30" s="8"/>
      <c r="B30" s="8"/>
      <c r="C30" s="8"/>
      <c r="D30" s="17"/>
      <c r="E30" s="8"/>
      <c r="F30" s="12" t="s">
        <v>11</v>
      </c>
      <c r="G30" s="72" t="s">
        <v>5</v>
      </c>
      <c r="H30" s="72"/>
      <c r="I30" s="11" t="s">
        <v>6</v>
      </c>
    </row>
    <row r="31" spans="1:10" ht="19.75" customHeight="1" x14ac:dyDescent="0.6">
      <c r="A31" s="8"/>
      <c r="B31" s="8"/>
      <c r="C31" s="8"/>
      <c r="D31" s="17"/>
      <c r="E31" s="8"/>
      <c r="F31" s="12" t="s">
        <v>11</v>
      </c>
      <c r="G31" s="72" t="s">
        <v>5</v>
      </c>
      <c r="H31" s="72"/>
      <c r="I31" s="11" t="s">
        <v>6</v>
      </c>
    </row>
    <row r="32" spans="1:10" ht="19.75" customHeight="1" x14ac:dyDescent="0.6">
      <c r="A32" s="8"/>
      <c r="B32" s="8"/>
      <c r="C32" s="8"/>
      <c r="D32" s="17"/>
      <c r="E32" s="8"/>
      <c r="F32" s="12" t="s">
        <v>11</v>
      </c>
      <c r="G32" s="72" t="s">
        <v>5</v>
      </c>
      <c r="H32" s="72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72" t="s">
        <v>5</v>
      </c>
      <c r="H33" s="72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  <mergeCell ref="A29:D2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55EBC-A3F0-4380-AEEB-2E27265E9B3C}">
  <sheetPr codeName="Feuil5">
    <tabColor rgb="FFFFFF00"/>
  </sheetPr>
  <dimension ref="A1:J35"/>
  <sheetViews>
    <sheetView showGridLines="0" view="pageLayout" zoomScaleNormal="100" workbookViewId="0">
      <selection activeCell="C12" sqref="C12"/>
    </sheetView>
  </sheetViews>
  <sheetFormatPr baseColWidth="10" defaultColWidth="10.81640625" defaultRowHeight="14.5" x14ac:dyDescent="0.35"/>
  <cols>
    <col min="1" max="1" width="10.1796875" customWidth="1"/>
    <col min="2" max="2" width="8.1796875" customWidth="1"/>
    <col min="3" max="3" width="9.1796875" customWidth="1"/>
    <col min="4" max="4" width="10.1796875" customWidth="1"/>
    <col min="5" max="5" width="7.26953125" customWidth="1"/>
    <col min="6" max="6" width="16.36328125" customWidth="1"/>
    <col min="7" max="7" width="8.1796875" customWidth="1"/>
    <col min="8" max="8" width="9.1796875" customWidth="1"/>
    <col min="9" max="9" width="9.453125" customWidth="1"/>
    <col min="10" max="10" width="7.1796875" customWidth="1"/>
  </cols>
  <sheetData>
    <row r="1" spans="1:10" ht="26" x14ac:dyDescent="0.6">
      <c r="A1" s="2" t="s">
        <v>0</v>
      </c>
      <c r="B1" s="78" t="s">
        <v>273</v>
      </c>
      <c r="C1" s="78"/>
      <c r="D1" s="78"/>
      <c r="E1" s="78"/>
      <c r="F1" s="1"/>
      <c r="G1" s="3" t="s">
        <v>4</v>
      </c>
      <c r="H1" s="2">
        <f>SUM(E6:E33)</f>
        <v>44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272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1411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53" t="s">
        <v>289</v>
      </c>
    </row>
    <row r="6" spans="1:10" s="3" customFormat="1" ht="19.75" customHeight="1" thickTop="1" x14ac:dyDescent="0.6">
      <c r="A6" s="4" t="s">
        <v>277</v>
      </c>
      <c r="B6" s="4"/>
      <c r="C6" s="4" t="s">
        <v>278</v>
      </c>
      <c r="D6" s="4"/>
      <c r="E6" s="39">
        <v>3</v>
      </c>
      <c r="F6" s="13" t="s">
        <v>288</v>
      </c>
      <c r="G6" s="14" t="s">
        <v>5</v>
      </c>
      <c r="H6" s="14" t="s">
        <v>9</v>
      </c>
      <c r="I6" s="14" t="s">
        <v>6</v>
      </c>
      <c r="J6" s="54"/>
    </row>
    <row r="7" spans="1:10" ht="19.75" customHeight="1" x14ac:dyDescent="0.6">
      <c r="A7" s="4" t="s">
        <v>279</v>
      </c>
      <c r="B7" s="4"/>
      <c r="C7" s="4" t="s">
        <v>281</v>
      </c>
      <c r="D7" s="4"/>
      <c r="E7" s="40">
        <v>1</v>
      </c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4" t="s">
        <v>280</v>
      </c>
      <c r="B8" s="4"/>
      <c r="C8" s="4" t="s">
        <v>276</v>
      </c>
      <c r="D8" s="4"/>
      <c r="E8" s="41">
        <v>1</v>
      </c>
      <c r="F8" s="12" t="s">
        <v>288</v>
      </c>
      <c r="G8" s="11" t="s">
        <v>5</v>
      </c>
      <c r="H8" s="11" t="s">
        <v>9</v>
      </c>
      <c r="I8" s="11" t="s">
        <v>6</v>
      </c>
      <c r="J8" s="55">
        <v>1411</v>
      </c>
    </row>
    <row r="9" spans="1:10" ht="19.75" customHeight="1" x14ac:dyDescent="0.6">
      <c r="A9" s="4" t="s">
        <v>282</v>
      </c>
      <c r="B9" s="4"/>
      <c r="C9" s="4" t="s">
        <v>286</v>
      </c>
      <c r="D9" s="4"/>
      <c r="E9" s="41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4" t="s">
        <v>283</v>
      </c>
      <c r="B10" s="4"/>
      <c r="C10" s="4" t="s">
        <v>287</v>
      </c>
      <c r="D10" s="4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55"/>
    </row>
    <row r="11" spans="1:10" ht="19.75" customHeight="1" x14ac:dyDescent="0.6">
      <c r="A11" s="4" t="s">
        <v>284</v>
      </c>
      <c r="B11" s="4"/>
      <c r="C11" s="4" t="s">
        <v>285</v>
      </c>
      <c r="D11" s="4"/>
      <c r="E11" s="5">
        <v>5</v>
      </c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3" t="s">
        <v>3</v>
      </c>
      <c r="B27" s="74"/>
      <c r="C27" s="73"/>
      <c r="D27" s="74"/>
      <c r="E27" s="10" t="s">
        <v>10</v>
      </c>
      <c r="F27" s="75" t="s">
        <v>7</v>
      </c>
      <c r="G27" s="76"/>
      <c r="H27" s="76"/>
      <c r="I27" s="3"/>
    </row>
    <row r="28" spans="1:10" ht="19.75" customHeight="1" thickTop="1" x14ac:dyDescent="0.6">
      <c r="A28" s="81" t="s">
        <v>20</v>
      </c>
      <c r="B28" s="81"/>
      <c r="C28" s="81"/>
      <c r="D28" s="82"/>
      <c r="E28" s="23">
        <v>6</v>
      </c>
      <c r="F28" s="13" t="s">
        <v>11</v>
      </c>
      <c r="G28" s="77" t="s">
        <v>5</v>
      </c>
      <c r="H28" s="77"/>
      <c r="I28" s="14" t="s">
        <v>6</v>
      </c>
    </row>
    <row r="29" spans="1:10" ht="19.75" customHeight="1" x14ac:dyDescent="0.6">
      <c r="A29" s="83" t="s">
        <v>21</v>
      </c>
      <c r="B29" s="83"/>
      <c r="C29" s="83"/>
      <c r="D29" s="84"/>
      <c r="E29" s="23">
        <v>12</v>
      </c>
      <c r="F29" s="12" t="s">
        <v>11</v>
      </c>
      <c r="G29" s="72" t="s">
        <v>5</v>
      </c>
      <c r="H29" s="72"/>
      <c r="I29" s="11" t="s">
        <v>6</v>
      </c>
    </row>
    <row r="30" spans="1:10" ht="19.75" customHeight="1" x14ac:dyDescent="0.6">
      <c r="A30" s="23" t="s">
        <v>290</v>
      </c>
      <c r="B30" s="23"/>
      <c r="C30" s="23"/>
      <c r="D30" s="37"/>
      <c r="E30" s="23">
        <v>6</v>
      </c>
      <c r="F30" s="12" t="s">
        <v>11</v>
      </c>
      <c r="G30" s="72" t="s">
        <v>5</v>
      </c>
      <c r="H30" s="72"/>
      <c r="I30" s="11" t="s">
        <v>6</v>
      </c>
    </row>
    <row r="31" spans="1:10" ht="19.75" customHeight="1" x14ac:dyDescent="0.6">
      <c r="A31" s="23" t="s">
        <v>291</v>
      </c>
      <c r="B31" s="23"/>
      <c r="C31" s="23"/>
      <c r="D31" s="37"/>
      <c r="E31" s="23">
        <v>2</v>
      </c>
      <c r="F31" s="12" t="s">
        <v>11</v>
      </c>
      <c r="G31" s="72" t="s">
        <v>5</v>
      </c>
      <c r="H31" s="72"/>
      <c r="I31" s="11" t="s">
        <v>6</v>
      </c>
    </row>
    <row r="32" spans="1:10" ht="19.75" customHeight="1" x14ac:dyDescent="0.6">
      <c r="A32" s="23" t="s">
        <v>21</v>
      </c>
      <c r="B32" s="23"/>
      <c r="C32" s="23"/>
      <c r="D32" s="37"/>
      <c r="E32" s="23">
        <v>4</v>
      </c>
      <c r="F32" s="12" t="s">
        <v>11</v>
      </c>
      <c r="G32" s="72" t="s">
        <v>5</v>
      </c>
      <c r="H32" s="72"/>
      <c r="I32" s="11" t="s">
        <v>6</v>
      </c>
    </row>
    <row r="33" spans="1:9" ht="19.75" customHeight="1" x14ac:dyDescent="0.6">
      <c r="A33" s="23" t="s">
        <v>292</v>
      </c>
      <c r="B33" s="23"/>
      <c r="C33" s="23"/>
      <c r="D33" s="37"/>
      <c r="E33" s="23">
        <v>2</v>
      </c>
      <c r="F33" s="12" t="s">
        <v>11</v>
      </c>
      <c r="G33" s="72" t="s">
        <v>5</v>
      </c>
      <c r="H33" s="72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B1:E1"/>
    <mergeCell ref="A3:D3"/>
    <mergeCell ref="F5:H5"/>
    <mergeCell ref="G33:H33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16/03/2019&amp;C&amp;18Version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64A8-9147-4064-B91A-1C0D72735334}">
  <sheetPr codeName="Feuil16">
    <tabColor rgb="FFFF0000"/>
  </sheetPr>
  <dimension ref="A1:J35"/>
  <sheetViews>
    <sheetView showGridLines="0" view="pageLayout" zoomScaleNormal="100" workbookViewId="0">
      <selection activeCell="F5" sqref="F5:J6"/>
    </sheetView>
  </sheetViews>
  <sheetFormatPr baseColWidth="10" defaultColWidth="10.81640625" defaultRowHeight="14.5" x14ac:dyDescent="0.35"/>
  <cols>
    <col min="1" max="1" width="10.1796875" customWidth="1"/>
    <col min="2" max="2" width="8.1796875" customWidth="1"/>
    <col min="3" max="3" width="9.1796875" customWidth="1"/>
    <col min="4" max="4" width="10.1796875" customWidth="1"/>
    <col min="5" max="5" width="7.26953125" customWidth="1"/>
    <col min="6" max="6" width="16.36328125" customWidth="1"/>
    <col min="7" max="7" width="8.1796875" customWidth="1"/>
    <col min="8" max="8" width="9.1796875" customWidth="1"/>
    <col min="9" max="9" width="9.453125" customWidth="1"/>
    <col min="10" max="10" width="7.1796875" customWidth="1"/>
  </cols>
  <sheetData>
    <row r="1" spans="1:10" ht="26" x14ac:dyDescent="0.6">
      <c r="A1" s="2" t="s">
        <v>0</v>
      </c>
      <c r="B1" s="78" t="s">
        <v>344</v>
      </c>
      <c r="C1" s="78"/>
      <c r="D1" s="78"/>
      <c r="E1" s="78"/>
      <c r="F1" s="1"/>
      <c r="G1" s="3" t="s">
        <v>4</v>
      </c>
      <c r="H1" s="2">
        <f>SUM(E6:E33)</f>
        <v>44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343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1576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53" t="s">
        <v>289</v>
      </c>
    </row>
    <row r="6" spans="1:10" s="3" customFormat="1" ht="19.75" customHeight="1" thickTop="1" thickBot="1" x14ac:dyDescent="0.65">
      <c r="A6" s="4" t="s">
        <v>327</v>
      </c>
      <c r="B6" s="4"/>
      <c r="C6" s="4" t="s">
        <v>328</v>
      </c>
      <c r="D6" s="4"/>
      <c r="E6" s="39">
        <v>3</v>
      </c>
      <c r="F6" s="13" t="s">
        <v>288</v>
      </c>
      <c r="G6" s="14" t="s">
        <v>5</v>
      </c>
      <c r="H6" s="14" t="s">
        <v>9</v>
      </c>
      <c r="I6" s="14" t="s">
        <v>6</v>
      </c>
      <c r="J6" s="63">
        <v>1576</v>
      </c>
    </row>
    <row r="7" spans="1:10" ht="19.75" customHeight="1" thickTop="1" x14ac:dyDescent="0.6">
      <c r="A7" s="4"/>
      <c r="B7" s="4"/>
      <c r="C7" s="4" t="s">
        <v>329</v>
      </c>
      <c r="D7" s="4"/>
      <c r="E7" s="40">
        <v>1</v>
      </c>
      <c r="F7" s="13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4"/>
      <c r="B8" s="4"/>
      <c r="C8" s="4" t="s">
        <v>330</v>
      </c>
      <c r="D8" s="4"/>
      <c r="E8" s="41">
        <v>1</v>
      </c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4"/>
      <c r="B9" s="4"/>
      <c r="C9" s="4" t="s">
        <v>331</v>
      </c>
      <c r="D9" s="4"/>
      <c r="E9" s="41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4"/>
      <c r="B10" s="4"/>
      <c r="C10" s="4" t="s">
        <v>332</v>
      </c>
      <c r="D10" s="4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55"/>
    </row>
    <row r="11" spans="1:10" ht="19.75" customHeight="1" x14ac:dyDescent="0.6">
      <c r="A11" s="4"/>
      <c r="B11" s="4"/>
      <c r="C11" s="4" t="s">
        <v>333</v>
      </c>
      <c r="D11" s="4"/>
      <c r="E11" s="5">
        <v>5</v>
      </c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 t="s">
        <v>324</v>
      </c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 t="s">
        <v>334</v>
      </c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 t="s">
        <v>335</v>
      </c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 t="s">
        <v>336</v>
      </c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 t="s">
        <v>337</v>
      </c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 t="s">
        <v>338</v>
      </c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 t="s">
        <v>339</v>
      </c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3" t="s">
        <v>3</v>
      </c>
      <c r="B27" s="74"/>
      <c r="C27" s="73"/>
      <c r="D27" s="74"/>
      <c r="E27" s="10" t="s">
        <v>10</v>
      </c>
      <c r="F27" s="75" t="s">
        <v>7</v>
      </c>
      <c r="G27" s="76"/>
      <c r="H27" s="76"/>
      <c r="I27" s="3"/>
    </row>
    <row r="28" spans="1:10" ht="19.75" customHeight="1" thickTop="1" x14ac:dyDescent="0.6">
      <c r="A28" s="81" t="s">
        <v>20</v>
      </c>
      <c r="B28" s="81"/>
      <c r="C28" s="81"/>
      <c r="D28" s="82"/>
      <c r="E28" s="23">
        <v>6</v>
      </c>
      <c r="F28" s="13" t="s">
        <v>11</v>
      </c>
      <c r="G28" s="77" t="s">
        <v>5</v>
      </c>
      <c r="H28" s="77"/>
      <c r="I28" s="14" t="s">
        <v>6</v>
      </c>
    </row>
    <row r="29" spans="1:10" ht="19.75" customHeight="1" x14ac:dyDescent="0.6">
      <c r="A29" s="83" t="s">
        <v>21</v>
      </c>
      <c r="B29" s="83"/>
      <c r="C29" s="83"/>
      <c r="D29" s="84"/>
      <c r="E29" s="23">
        <v>12</v>
      </c>
      <c r="F29" s="12" t="s">
        <v>11</v>
      </c>
      <c r="G29" s="72" t="s">
        <v>5</v>
      </c>
      <c r="H29" s="72"/>
      <c r="I29" s="11" t="s">
        <v>6</v>
      </c>
    </row>
    <row r="30" spans="1:10" ht="19.75" customHeight="1" x14ac:dyDescent="0.6">
      <c r="A30" s="23" t="s">
        <v>290</v>
      </c>
      <c r="B30" s="23"/>
      <c r="C30" s="23"/>
      <c r="D30" s="37"/>
      <c r="E30" s="23">
        <v>6</v>
      </c>
      <c r="F30" s="12" t="s">
        <v>11</v>
      </c>
      <c r="G30" s="72" t="s">
        <v>5</v>
      </c>
      <c r="H30" s="72"/>
      <c r="I30" s="11" t="s">
        <v>6</v>
      </c>
    </row>
    <row r="31" spans="1:10" ht="19.75" customHeight="1" x14ac:dyDescent="0.6">
      <c r="A31" s="23" t="s">
        <v>291</v>
      </c>
      <c r="B31" s="23"/>
      <c r="C31" s="23"/>
      <c r="D31" s="37"/>
      <c r="E31" s="23">
        <v>2</v>
      </c>
      <c r="F31" s="12" t="s">
        <v>11</v>
      </c>
      <c r="G31" s="72" t="s">
        <v>5</v>
      </c>
      <c r="H31" s="72"/>
      <c r="I31" s="11" t="s">
        <v>6</v>
      </c>
    </row>
    <row r="32" spans="1:10" ht="19.75" customHeight="1" x14ac:dyDescent="0.6">
      <c r="A32" s="23" t="s">
        <v>21</v>
      </c>
      <c r="B32" s="23"/>
      <c r="C32" s="23"/>
      <c r="D32" s="37"/>
      <c r="E32" s="23">
        <v>4</v>
      </c>
      <c r="F32" s="12" t="s">
        <v>11</v>
      </c>
      <c r="G32" s="72" t="s">
        <v>5</v>
      </c>
      <c r="H32" s="72"/>
      <c r="I32" s="11" t="s">
        <v>6</v>
      </c>
    </row>
    <row r="33" spans="1:9" ht="19.75" customHeight="1" x14ac:dyDescent="0.6">
      <c r="A33" s="23" t="s">
        <v>292</v>
      </c>
      <c r="B33" s="23"/>
      <c r="C33" s="23"/>
      <c r="D33" s="37"/>
      <c r="E33" s="23">
        <v>2</v>
      </c>
      <c r="F33" s="12" t="s">
        <v>11</v>
      </c>
      <c r="G33" s="72" t="s">
        <v>5</v>
      </c>
      <c r="H33" s="72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16/03/2019&amp;C&amp;18Version : 1.0&amp;R&amp;18Page : 1/1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0000"/>
  </sheetPr>
  <dimension ref="A1:J33"/>
  <sheetViews>
    <sheetView showGridLines="0" view="pageLayout" zoomScaleNormal="100" workbookViewId="0">
      <selection activeCell="E15" sqref="E1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14.90625" customWidth="1"/>
    <col min="7" max="7" width="8" customWidth="1"/>
    <col min="8" max="8" width="9.1796875" customWidth="1"/>
    <col min="9" max="9" width="9.453125" customWidth="1"/>
    <col min="10" max="10" width="7.36328125" customWidth="1"/>
  </cols>
  <sheetData>
    <row r="1" spans="1:10" ht="26" x14ac:dyDescent="0.6">
      <c r="A1" s="2" t="s">
        <v>0</v>
      </c>
      <c r="B1" s="78" t="s">
        <v>146</v>
      </c>
      <c r="C1" s="78"/>
      <c r="D1" s="78"/>
      <c r="E1" s="78"/>
      <c r="F1" s="1"/>
      <c r="G1" s="3" t="s">
        <v>4</v>
      </c>
      <c r="H1">
        <f>SUM(E6:E32)</f>
        <v>85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147</v>
      </c>
      <c r="G3" t="s">
        <v>227</v>
      </c>
      <c r="H3" t="s">
        <v>229</v>
      </c>
    </row>
    <row r="4" spans="1:10" x14ac:dyDescent="0.35">
      <c r="G4" t="s">
        <v>341</v>
      </c>
      <c r="H4">
        <f>SUM(J6:J27)</f>
        <v>100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18" t="s">
        <v>289</v>
      </c>
    </row>
    <row r="6" spans="1:10" s="3" customFormat="1" ht="20.25" customHeight="1" thickTop="1" x14ac:dyDescent="0.6">
      <c r="A6" s="56"/>
      <c r="B6" s="56"/>
      <c r="C6" s="56" t="s">
        <v>148</v>
      </c>
      <c r="D6" s="57"/>
      <c r="E6" s="6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71">
        <v>100</v>
      </c>
    </row>
    <row r="7" spans="1:10" ht="20.25" customHeight="1" x14ac:dyDescent="0.35">
      <c r="A7" s="58"/>
      <c r="B7" s="58"/>
      <c r="C7" s="58" t="s">
        <v>149</v>
      </c>
      <c r="D7" s="59"/>
      <c r="E7" s="9">
        <v>1</v>
      </c>
      <c r="F7" s="35" t="s">
        <v>288</v>
      </c>
      <c r="G7" s="35" t="s">
        <v>5</v>
      </c>
      <c r="H7" s="35" t="s">
        <v>9</v>
      </c>
      <c r="I7" s="35" t="s">
        <v>6</v>
      </c>
    </row>
    <row r="8" spans="1:10" ht="20.25" customHeight="1" x14ac:dyDescent="0.35">
      <c r="A8" s="58"/>
      <c r="B8" s="58"/>
      <c r="C8" s="58" t="s">
        <v>150</v>
      </c>
      <c r="D8" s="59"/>
      <c r="E8" s="5">
        <v>1</v>
      </c>
      <c r="F8" s="35" t="s">
        <v>288</v>
      </c>
      <c r="G8" s="35" t="s">
        <v>5</v>
      </c>
      <c r="H8" s="35" t="s">
        <v>9</v>
      </c>
      <c r="I8" s="35" t="s">
        <v>6</v>
      </c>
    </row>
    <row r="9" spans="1:10" ht="20.25" customHeight="1" x14ac:dyDescent="0.35">
      <c r="A9" s="58"/>
      <c r="B9" s="58"/>
      <c r="C9" s="58" t="s">
        <v>151</v>
      </c>
      <c r="D9" s="59"/>
      <c r="E9" s="5">
        <v>1</v>
      </c>
      <c r="F9" s="35" t="s">
        <v>288</v>
      </c>
      <c r="G9" s="35" t="s">
        <v>5</v>
      </c>
      <c r="H9" s="35" t="s">
        <v>9</v>
      </c>
      <c r="I9" s="35" t="s">
        <v>6</v>
      </c>
    </row>
    <row r="10" spans="1:10" ht="20.25" customHeight="1" x14ac:dyDescent="0.35">
      <c r="A10" s="58"/>
      <c r="B10" s="58"/>
      <c r="C10" s="58" t="s">
        <v>152</v>
      </c>
      <c r="D10" s="59"/>
      <c r="E10" s="5">
        <v>2</v>
      </c>
      <c r="F10" s="35" t="s">
        <v>288</v>
      </c>
      <c r="G10" s="35" t="s">
        <v>5</v>
      </c>
      <c r="H10" s="35" t="s">
        <v>9</v>
      </c>
      <c r="I10" s="35" t="s">
        <v>6</v>
      </c>
    </row>
    <row r="11" spans="1:10" ht="20.25" customHeight="1" x14ac:dyDescent="0.35">
      <c r="A11" s="58"/>
      <c r="B11" s="58"/>
      <c r="C11" s="58" t="s">
        <v>153</v>
      </c>
      <c r="D11" s="59"/>
      <c r="E11" s="5">
        <v>4</v>
      </c>
      <c r="F11" s="35" t="s">
        <v>288</v>
      </c>
      <c r="G11" s="35" t="s">
        <v>5</v>
      </c>
      <c r="H11" s="35" t="s">
        <v>9</v>
      </c>
      <c r="I11" s="35" t="s">
        <v>6</v>
      </c>
    </row>
    <row r="12" spans="1:10" ht="20.25" customHeight="1" x14ac:dyDescent="0.35">
      <c r="A12" s="58"/>
      <c r="B12" s="58"/>
      <c r="C12" s="58" t="s">
        <v>154</v>
      </c>
      <c r="D12" s="59"/>
      <c r="E12" s="5">
        <v>8</v>
      </c>
      <c r="F12" s="35" t="s">
        <v>288</v>
      </c>
      <c r="G12" s="35" t="s">
        <v>5</v>
      </c>
      <c r="H12" s="35" t="s">
        <v>9</v>
      </c>
      <c r="I12" s="35" t="s">
        <v>6</v>
      </c>
    </row>
    <row r="13" spans="1:10" ht="20.25" customHeight="1" x14ac:dyDescent="0.35">
      <c r="A13" s="58"/>
      <c r="B13" s="58"/>
      <c r="C13" s="58"/>
      <c r="D13" s="59"/>
      <c r="E13" s="5"/>
      <c r="F13" s="35" t="s">
        <v>288</v>
      </c>
      <c r="G13" s="35" t="s">
        <v>5</v>
      </c>
      <c r="H13" s="35" t="s">
        <v>9</v>
      </c>
      <c r="I13" s="35" t="s">
        <v>6</v>
      </c>
    </row>
    <row r="14" spans="1:10" ht="20.25" customHeight="1" x14ac:dyDescent="0.35">
      <c r="A14" s="58"/>
      <c r="B14" s="58"/>
      <c r="C14" s="58"/>
      <c r="D14" s="59"/>
      <c r="E14" s="5"/>
      <c r="F14" s="35" t="s">
        <v>288</v>
      </c>
      <c r="G14" s="35" t="s">
        <v>5</v>
      </c>
      <c r="H14" s="35" t="s">
        <v>9</v>
      </c>
      <c r="I14" s="35" t="s">
        <v>6</v>
      </c>
    </row>
    <row r="15" spans="1:10" ht="20.25" customHeight="1" x14ac:dyDescent="0.35">
      <c r="A15" s="4"/>
      <c r="B15" s="4"/>
      <c r="C15" s="4"/>
      <c r="D15" s="50"/>
      <c r="E15" s="5"/>
      <c r="F15" s="35" t="s">
        <v>288</v>
      </c>
      <c r="G15" s="35" t="s">
        <v>5</v>
      </c>
      <c r="H15" s="35" t="s">
        <v>9</v>
      </c>
      <c r="I15" s="35" t="s">
        <v>6</v>
      </c>
    </row>
    <row r="16" spans="1:10" ht="20.25" customHeight="1" x14ac:dyDescent="0.35">
      <c r="A16" s="4"/>
      <c r="B16" s="4"/>
      <c r="C16" s="4"/>
      <c r="D16" s="50"/>
      <c r="E16" s="5"/>
      <c r="F16" s="35" t="s">
        <v>288</v>
      </c>
      <c r="G16" s="35" t="s">
        <v>5</v>
      </c>
      <c r="H16" s="35" t="s">
        <v>9</v>
      </c>
      <c r="I16" s="35" t="s">
        <v>6</v>
      </c>
    </row>
    <row r="17" spans="1:9" ht="20.25" customHeight="1" x14ac:dyDescent="0.35">
      <c r="A17" s="4"/>
      <c r="B17" s="4"/>
      <c r="C17" s="4"/>
      <c r="D17" s="50"/>
      <c r="E17" s="5"/>
      <c r="F17" s="35" t="s">
        <v>288</v>
      </c>
      <c r="G17" s="35" t="s">
        <v>5</v>
      </c>
      <c r="H17" s="35" t="s">
        <v>9</v>
      </c>
      <c r="I17" s="35" t="s">
        <v>6</v>
      </c>
    </row>
    <row r="18" spans="1:9" ht="20.25" customHeight="1" x14ac:dyDescent="0.35">
      <c r="A18" s="4"/>
      <c r="B18" s="4"/>
      <c r="C18" s="4"/>
      <c r="D18" s="50"/>
      <c r="E18" s="5"/>
      <c r="F18" s="35" t="s">
        <v>288</v>
      </c>
      <c r="G18" s="35" t="s">
        <v>5</v>
      </c>
      <c r="H18" s="35" t="s">
        <v>9</v>
      </c>
      <c r="I18" s="35" t="s">
        <v>6</v>
      </c>
    </row>
    <row r="19" spans="1:9" ht="20.25" customHeight="1" x14ac:dyDescent="0.35">
      <c r="A19" s="4"/>
      <c r="B19" s="4"/>
      <c r="C19" s="4"/>
      <c r="D19" s="50"/>
      <c r="E19" s="5"/>
      <c r="F19" s="35" t="s">
        <v>288</v>
      </c>
      <c r="G19" s="35" t="s">
        <v>5</v>
      </c>
      <c r="H19" s="35" t="s">
        <v>9</v>
      </c>
      <c r="I19" s="35" t="s">
        <v>6</v>
      </c>
    </row>
    <row r="20" spans="1:9" ht="20.25" customHeight="1" x14ac:dyDescent="0.35">
      <c r="A20" s="4"/>
      <c r="B20" s="4"/>
      <c r="C20" s="4"/>
      <c r="D20" s="50"/>
      <c r="E20" s="5"/>
      <c r="F20" s="35" t="s">
        <v>288</v>
      </c>
      <c r="G20" s="35" t="s">
        <v>5</v>
      </c>
      <c r="H20" s="35" t="s">
        <v>9</v>
      </c>
      <c r="I20" s="35" t="s">
        <v>6</v>
      </c>
    </row>
    <row r="21" spans="1:9" ht="20.25" customHeight="1" x14ac:dyDescent="0.35"/>
    <row r="22" spans="1:9" ht="20.25" customHeight="1" thickBot="1" x14ac:dyDescent="0.65">
      <c r="A22" s="73" t="s">
        <v>3</v>
      </c>
      <c r="B22" s="74"/>
      <c r="C22" s="73"/>
      <c r="D22" s="74"/>
      <c r="E22" s="10" t="s">
        <v>10</v>
      </c>
      <c r="F22" s="75" t="s">
        <v>7</v>
      </c>
      <c r="G22" s="76"/>
      <c r="H22" s="76"/>
      <c r="I22" s="3"/>
    </row>
    <row r="23" spans="1:9" ht="20.25" customHeight="1" thickTop="1" x14ac:dyDescent="0.6">
      <c r="A23" s="81" t="s">
        <v>156</v>
      </c>
      <c r="B23" s="81"/>
      <c r="C23" s="81"/>
      <c r="D23" s="82"/>
      <c r="E23" s="23">
        <v>9</v>
      </c>
      <c r="F23" s="13" t="s">
        <v>11</v>
      </c>
      <c r="G23" s="77" t="s">
        <v>5</v>
      </c>
      <c r="H23" s="77"/>
      <c r="I23" s="14" t="s">
        <v>6</v>
      </c>
    </row>
    <row r="24" spans="1:9" ht="20.25" customHeight="1" x14ac:dyDescent="0.6">
      <c r="A24" s="83" t="s">
        <v>155</v>
      </c>
      <c r="B24" s="83"/>
      <c r="C24" s="83"/>
      <c r="D24" s="84"/>
      <c r="E24" s="23">
        <v>2</v>
      </c>
      <c r="F24" s="12" t="s">
        <v>11</v>
      </c>
      <c r="G24" s="72" t="s">
        <v>5</v>
      </c>
      <c r="H24" s="72"/>
      <c r="I24" s="11" t="s">
        <v>6</v>
      </c>
    </row>
    <row r="25" spans="1:9" ht="20.25" customHeight="1" x14ac:dyDescent="0.6">
      <c r="A25" s="83" t="s">
        <v>157</v>
      </c>
      <c r="B25" s="83"/>
      <c r="C25" s="83"/>
      <c r="D25" s="84"/>
      <c r="E25" s="23">
        <v>1</v>
      </c>
      <c r="F25" s="12" t="s">
        <v>11</v>
      </c>
      <c r="G25" s="72" t="s">
        <v>5</v>
      </c>
      <c r="H25" s="72"/>
      <c r="I25" s="11" t="s">
        <v>6</v>
      </c>
    </row>
    <row r="26" spans="1:9" ht="20.25" customHeight="1" x14ac:dyDescent="0.6">
      <c r="A26" s="83" t="s">
        <v>158</v>
      </c>
      <c r="B26" s="83"/>
      <c r="C26" s="83"/>
      <c r="D26" s="84"/>
      <c r="E26" s="23">
        <v>1</v>
      </c>
      <c r="F26" s="12" t="s">
        <v>11</v>
      </c>
      <c r="G26" s="72" t="s">
        <v>5</v>
      </c>
      <c r="H26" s="72"/>
      <c r="I26" s="11" t="s">
        <v>6</v>
      </c>
    </row>
    <row r="27" spans="1:9" ht="20.25" customHeight="1" x14ac:dyDescent="0.6">
      <c r="A27" s="83" t="s">
        <v>159</v>
      </c>
      <c r="B27" s="83"/>
      <c r="C27" s="83"/>
      <c r="D27" s="84"/>
      <c r="E27" s="23">
        <v>1</v>
      </c>
      <c r="F27" s="12" t="s">
        <v>11</v>
      </c>
      <c r="G27" s="72" t="s">
        <v>5</v>
      </c>
      <c r="H27" s="72"/>
      <c r="I27" s="11" t="s">
        <v>6</v>
      </c>
    </row>
    <row r="28" spans="1:9" ht="20.25" customHeight="1" x14ac:dyDescent="0.6">
      <c r="A28" s="83" t="s">
        <v>35</v>
      </c>
      <c r="B28" s="83"/>
      <c r="C28" s="83"/>
      <c r="D28" s="84"/>
      <c r="E28" s="23">
        <v>22</v>
      </c>
      <c r="F28" s="12" t="s">
        <v>11</v>
      </c>
      <c r="G28" s="72" t="s">
        <v>5</v>
      </c>
      <c r="H28" s="72"/>
      <c r="I28" s="11" t="s">
        <v>6</v>
      </c>
    </row>
    <row r="29" spans="1:9" ht="20.25" customHeight="1" x14ac:dyDescent="0.6">
      <c r="A29" s="83" t="s">
        <v>160</v>
      </c>
      <c r="B29" s="83"/>
      <c r="C29" s="83"/>
      <c r="D29" s="84"/>
      <c r="E29" s="23">
        <v>9</v>
      </c>
      <c r="F29" s="12" t="s">
        <v>11</v>
      </c>
      <c r="G29" s="72" t="s">
        <v>5</v>
      </c>
      <c r="H29" s="72"/>
      <c r="I29" s="11" t="s">
        <v>6</v>
      </c>
    </row>
    <row r="30" spans="1:9" ht="20.25" customHeight="1" x14ac:dyDescent="0.6">
      <c r="A30" s="83" t="s">
        <v>161</v>
      </c>
      <c r="B30" s="83"/>
      <c r="C30" s="83"/>
      <c r="D30" s="84"/>
      <c r="E30" s="23">
        <v>13</v>
      </c>
      <c r="F30" s="12" t="s">
        <v>11</v>
      </c>
      <c r="G30" s="72" t="s">
        <v>5</v>
      </c>
      <c r="H30" s="72"/>
      <c r="I30" s="11" t="s">
        <v>6</v>
      </c>
    </row>
    <row r="31" spans="1:9" ht="19.75" customHeight="1" x14ac:dyDescent="0.6">
      <c r="A31" s="83" t="s">
        <v>162</v>
      </c>
      <c r="B31" s="83"/>
      <c r="C31" s="83"/>
      <c r="D31" s="84"/>
      <c r="E31" s="23">
        <v>9</v>
      </c>
      <c r="F31" s="12" t="s">
        <v>11</v>
      </c>
      <c r="G31" s="72" t="s">
        <v>5</v>
      </c>
      <c r="H31" s="72"/>
      <c r="I31" s="11" t="s">
        <v>6</v>
      </c>
    </row>
    <row r="32" spans="1:9" ht="10.5" customHeight="1" x14ac:dyDescent="0.35"/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23">
    <mergeCell ref="A31:D31"/>
    <mergeCell ref="G30:H30"/>
    <mergeCell ref="A29:D29"/>
    <mergeCell ref="G29:H29"/>
    <mergeCell ref="G28:H28"/>
    <mergeCell ref="A30:D30"/>
    <mergeCell ref="G31:H31"/>
    <mergeCell ref="A28:D28"/>
    <mergeCell ref="A27:D27"/>
    <mergeCell ref="A23:D23"/>
    <mergeCell ref="A24:D24"/>
    <mergeCell ref="A25:D25"/>
    <mergeCell ref="A26:D26"/>
    <mergeCell ref="B1:E1"/>
    <mergeCell ref="A3:D3"/>
    <mergeCell ref="F5:H5"/>
    <mergeCell ref="A22:D22"/>
    <mergeCell ref="F22:H22"/>
    <mergeCell ref="G23:H23"/>
    <mergeCell ref="G24:H24"/>
    <mergeCell ref="G25:H25"/>
    <mergeCell ref="G26:H26"/>
    <mergeCell ref="G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FF0000"/>
  </sheetPr>
  <dimension ref="A1:J37"/>
  <sheetViews>
    <sheetView showGridLines="0" view="pageLayout" zoomScale="130" zoomScaleNormal="100" zoomScalePageLayoutView="130" workbookViewId="0">
      <selection activeCell="F5" sqref="F5:H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7.81640625" customWidth="1"/>
  </cols>
  <sheetData>
    <row r="1" spans="1:10" ht="26" x14ac:dyDescent="0.6">
      <c r="A1" s="2" t="s">
        <v>0</v>
      </c>
      <c r="B1" s="78" t="s">
        <v>25</v>
      </c>
      <c r="C1" s="78"/>
      <c r="D1" s="78"/>
      <c r="E1" s="78"/>
      <c r="F1" s="1"/>
      <c r="G1" s="3" t="s">
        <v>4</v>
      </c>
      <c r="H1" s="2">
        <f>SUM(E6:E34)</f>
        <v>39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85" t="s">
        <v>26</v>
      </c>
      <c r="F3" s="85"/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1645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I5" s="52"/>
      <c r="J5" s="18" t="s">
        <v>289</v>
      </c>
    </row>
    <row r="6" spans="1:10" s="3" customFormat="1" ht="19.75" customHeight="1" thickTop="1" x14ac:dyDescent="0.6">
      <c r="A6" s="22" t="s">
        <v>356</v>
      </c>
      <c r="B6" s="22"/>
      <c r="C6" s="35" t="s">
        <v>29</v>
      </c>
      <c r="D6" s="36"/>
      <c r="E6" s="6">
        <v>1</v>
      </c>
      <c r="F6" s="22" t="s">
        <v>288</v>
      </c>
      <c r="G6" s="22" t="s">
        <v>5</v>
      </c>
      <c r="H6" s="22" t="s">
        <v>9</v>
      </c>
      <c r="I6" s="36" t="s">
        <v>6</v>
      </c>
      <c r="J6" s="35">
        <v>990</v>
      </c>
    </row>
    <row r="7" spans="1:10" ht="19.75" customHeight="1" x14ac:dyDescent="0.35">
      <c r="A7" s="35" t="s">
        <v>357</v>
      </c>
      <c r="B7" s="35"/>
      <c r="C7" s="35" t="s">
        <v>28</v>
      </c>
      <c r="D7" s="49"/>
      <c r="E7" s="9">
        <v>1</v>
      </c>
      <c r="F7" s="35" t="s">
        <v>288</v>
      </c>
      <c r="G7" s="35" t="s">
        <v>5</v>
      </c>
      <c r="H7" s="35" t="s">
        <v>9</v>
      </c>
      <c r="I7" s="49" t="s">
        <v>6</v>
      </c>
      <c r="J7" s="35"/>
    </row>
    <row r="8" spans="1:10" ht="19.75" customHeight="1" x14ac:dyDescent="0.35">
      <c r="B8" s="35"/>
      <c r="C8" s="38" t="s">
        <v>27</v>
      </c>
      <c r="D8" s="49"/>
      <c r="E8" s="5">
        <v>1</v>
      </c>
      <c r="F8" s="35" t="s">
        <v>288</v>
      </c>
      <c r="G8" s="35" t="s">
        <v>5</v>
      </c>
      <c r="H8" s="35" t="s">
        <v>9</v>
      </c>
      <c r="I8" s="49" t="s">
        <v>6</v>
      </c>
      <c r="J8" s="35"/>
    </row>
    <row r="9" spans="1:10" ht="19.75" customHeight="1" x14ac:dyDescent="0.35">
      <c r="A9" s="35"/>
      <c r="B9" s="35"/>
      <c r="C9" s="35" t="s">
        <v>30</v>
      </c>
      <c r="D9" s="49"/>
      <c r="E9" s="5">
        <v>1</v>
      </c>
      <c r="F9" s="35" t="s">
        <v>288</v>
      </c>
      <c r="G9" s="35" t="s">
        <v>5</v>
      </c>
      <c r="H9" s="35" t="s">
        <v>9</v>
      </c>
      <c r="I9" s="49" t="s">
        <v>6</v>
      </c>
      <c r="J9" s="35"/>
    </row>
    <row r="10" spans="1:10" ht="19.75" customHeight="1" x14ac:dyDescent="0.35">
      <c r="A10" s="35"/>
      <c r="B10" s="35"/>
      <c r="C10" s="38" t="s">
        <v>367</v>
      </c>
      <c r="D10" s="49"/>
      <c r="E10" s="5">
        <v>4</v>
      </c>
      <c r="F10" s="35" t="s">
        <v>288</v>
      </c>
      <c r="G10" s="35" t="s">
        <v>5</v>
      </c>
      <c r="H10" s="35" t="s">
        <v>9</v>
      </c>
      <c r="I10" s="49" t="s">
        <v>6</v>
      </c>
      <c r="J10" s="35">
        <f>22*E10</f>
        <v>88</v>
      </c>
    </row>
    <row r="11" spans="1:10" ht="19.75" customHeight="1" x14ac:dyDescent="0.35">
      <c r="A11" s="35" t="s">
        <v>358</v>
      </c>
      <c r="B11" s="35"/>
      <c r="C11" s="38" t="s">
        <v>359</v>
      </c>
      <c r="D11" s="49"/>
      <c r="E11" s="5">
        <v>1</v>
      </c>
      <c r="F11" s="35" t="s">
        <v>288</v>
      </c>
      <c r="G11" s="35" t="s">
        <v>5</v>
      </c>
      <c r="H11" s="35" t="s">
        <v>9</v>
      </c>
      <c r="I11" s="49" t="s">
        <v>6</v>
      </c>
      <c r="J11" s="35">
        <v>117</v>
      </c>
    </row>
    <row r="12" spans="1:10" ht="19.75" customHeight="1" x14ac:dyDescent="0.35">
      <c r="A12" s="35" t="s">
        <v>358</v>
      </c>
      <c r="B12" s="35"/>
      <c r="C12" s="35" t="s">
        <v>270</v>
      </c>
      <c r="D12" s="49"/>
      <c r="E12" s="5">
        <v>1</v>
      </c>
      <c r="F12" s="35" t="s">
        <v>288</v>
      </c>
      <c r="G12" s="35" t="s">
        <v>5</v>
      </c>
      <c r="H12" s="35" t="s">
        <v>9</v>
      </c>
      <c r="I12" s="49" t="s">
        <v>6</v>
      </c>
      <c r="J12" s="35"/>
    </row>
    <row r="13" spans="1:10" ht="19.75" customHeight="1" x14ac:dyDescent="0.35">
      <c r="A13" s="35"/>
      <c r="B13" s="35"/>
      <c r="C13" s="35" t="s">
        <v>31</v>
      </c>
      <c r="D13" s="49"/>
      <c r="E13" s="5">
        <v>1</v>
      </c>
      <c r="F13" s="35" t="s">
        <v>288</v>
      </c>
      <c r="G13" s="35" t="s">
        <v>5</v>
      </c>
      <c r="H13" s="35" t="s">
        <v>9</v>
      </c>
      <c r="I13" s="49" t="s">
        <v>6</v>
      </c>
      <c r="J13" s="35"/>
    </row>
    <row r="14" spans="1:10" ht="19.75" customHeight="1" x14ac:dyDescent="0.35">
      <c r="A14" s="35" t="s">
        <v>364</v>
      </c>
      <c r="B14" s="35"/>
      <c r="C14" s="35" t="s">
        <v>32</v>
      </c>
      <c r="D14" s="49"/>
      <c r="E14" s="5">
        <v>1</v>
      </c>
      <c r="F14" s="35" t="s">
        <v>288</v>
      </c>
      <c r="G14" s="35" t="s">
        <v>5</v>
      </c>
      <c r="H14" s="35" t="s">
        <v>9</v>
      </c>
      <c r="I14" s="49" t="s">
        <v>6</v>
      </c>
      <c r="J14" s="35"/>
    </row>
    <row r="15" spans="1:10" ht="19.75" customHeight="1" x14ac:dyDescent="0.35">
      <c r="A15" s="35" t="s">
        <v>364</v>
      </c>
      <c r="B15" s="35"/>
      <c r="C15" s="38" t="s">
        <v>365</v>
      </c>
      <c r="D15" s="49"/>
      <c r="E15" s="5">
        <v>2</v>
      </c>
      <c r="F15" s="35" t="s">
        <v>288</v>
      </c>
      <c r="G15" s="35" t="s">
        <v>5</v>
      </c>
      <c r="H15" s="35" t="s">
        <v>9</v>
      </c>
      <c r="I15" s="49" t="s">
        <v>6</v>
      </c>
      <c r="J15" s="35"/>
    </row>
    <row r="16" spans="1:10" ht="19.75" customHeight="1" x14ac:dyDescent="0.35">
      <c r="A16" s="35"/>
      <c r="B16" s="35"/>
      <c r="C16" s="38" t="s">
        <v>368</v>
      </c>
      <c r="D16" s="35"/>
      <c r="E16" s="5">
        <v>1</v>
      </c>
      <c r="F16" s="35" t="s">
        <v>288</v>
      </c>
      <c r="G16" s="35" t="s">
        <v>5</v>
      </c>
      <c r="H16" s="35" t="s">
        <v>9</v>
      </c>
      <c r="I16" s="49" t="s">
        <v>6</v>
      </c>
      <c r="J16" s="35"/>
    </row>
    <row r="17" spans="1:10" ht="19.75" customHeight="1" x14ac:dyDescent="0.35">
      <c r="A17" s="35" t="s">
        <v>362</v>
      </c>
      <c r="B17" s="4"/>
      <c r="C17" s="4" t="s">
        <v>342</v>
      </c>
      <c r="D17" s="4"/>
      <c r="E17" s="5">
        <v>1</v>
      </c>
      <c r="F17" s="35" t="s">
        <v>288</v>
      </c>
      <c r="G17" s="35" t="s">
        <v>5</v>
      </c>
      <c r="H17" s="35" t="s">
        <v>9</v>
      </c>
      <c r="I17" s="49" t="s">
        <v>6</v>
      </c>
      <c r="J17" s="35">
        <v>290</v>
      </c>
    </row>
    <row r="18" spans="1:10" ht="19.75" customHeight="1" x14ac:dyDescent="0.35">
      <c r="A18" s="35" t="s">
        <v>362</v>
      </c>
      <c r="B18" s="4"/>
      <c r="C18" s="4" t="s">
        <v>363</v>
      </c>
      <c r="D18" s="4"/>
      <c r="E18" s="5">
        <v>2</v>
      </c>
      <c r="F18" s="35" t="s">
        <v>288</v>
      </c>
      <c r="G18" s="35" t="s">
        <v>5</v>
      </c>
      <c r="H18" s="35" t="s">
        <v>9</v>
      </c>
      <c r="I18" s="49" t="s">
        <v>6</v>
      </c>
      <c r="J18" s="35"/>
    </row>
    <row r="19" spans="1:10" ht="19.75" customHeight="1" x14ac:dyDescent="0.5">
      <c r="A19" s="19"/>
      <c r="B19" s="4"/>
      <c r="C19" s="4"/>
      <c r="D19" s="4"/>
      <c r="E19" s="5"/>
      <c r="F19" s="35" t="s">
        <v>288</v>
      </c>
      <c r="G19" s="35" t="s">
        <v>5</v>
      </c>
      <c r="H19" s="35" t="s">
        <v>9</v>
      </c>
      <c r="I19" s="49" t="s">
        <v>6</v>
      </c>
      <c r="J19" s="35"/>
    </row>
    <row r="20" spans="1:10" ht="19.75" customHeight="1" x14ac:dyDescent="0.5">
      <c r="A20" s="19"/>
      <c r="B20" s="4"/>
      <c r="C20" s="4"/>
      <c r="D20" s="4"/>
      <c r="E20" s="5"/>
      <c r="F20" s="35" t="s">
        <v>288</v>
      </c>
      <c r="G20" s="35" t="s">
        <v>5</v>
      </c>
      <c r="H20" s="35" t="s">
        <v>9</v>
      </c>
      <c r="I20" s="49" t="s">
        <v>6</v>
      </c>
      <c r="J20" s="35"/>
    </row>
    <row r="21" spans="1:10" ht="19.75" customHeight="1" x14ac:dyDescent="0.35">
      <c r="A21" s="35" t="s">
        <v>360</v>
      </c>
      <c r="B21" s="4"/>
      <c r="C21" s="4" t="s">
        <v>361</v>
      </c>
      <c r="D21" s="4"/>
      <c r="E21" s="5">
        <v>1</v>
      </c>
      <c r="F21" s="35" t="s">
        <v>288</v>
      </c>
      <c r="G21" s="35" t="s">
        <v>5</v>
      </c>
      <c r="H21" s="35" t="s">
        <v>9</v>
      </c>
      <c r="I21" s="49" t="s">
        <v>6</v>
      </c>
      <c r="J21" s="35">
        <v>160</v>
      </c>
    </row>
    <row r="22" spans="1:10" ht="19.75" customHeight="1" x14ac:dyDescent="0.5">
      <c r="A22" s="19"/>
      <c r="B22" s="4"/>
      <c r="C22" s="4"/>
      <c r="D22" s="4"/>
      <c r="E22" s="5"/>
      <c r="F22" s="35" t="s">
        <v>288</v>
      </c>
      <c r="G22" s="35" t="s">
        <v>5</v>
      </c>
      <c r="H22" s="35" t="s">
        <v>9</v>
      </c>
      <c r="I22" s="49" t="s">
        <v>6</v>
      </c>
      <c r="J22" s="35"/>
    </row>
    <row r="23" spans="1:10" ht="19.75" customHeight="1" x14ac:dyDescent="0.5">
      <c r="A23" s="19"/>
      <c r="B23" s="4"/>
      <c r="C23" s="35" t="s">
        <v>33</v>
      </c>
      <c r="D23" s="4"/>
      <c r="E23" s="5"/>
      <c r="F23" s="35" t="s">
        <v>288</v>
      </c>
      <c r="G23" s="35" t="s">
        <v>5</v>
      </c>
      <c r="H23" s="35" t="s">
        <v>9</v>
      </c>
      <c r="I23" s="49" t="s">
        <v>6</v>
      </c>
      <c r="J23" s="35"/>
    </row>
    <row r="24" spans="1:10" ht="19.75" customHeight="1" x14ac:dyDescent="0.35">
      <c r="A24" s="4"/>
      <c r="B24" s="4"/>
      <c r="C24" s="4"/>
      <c r="D24" s="4"/>
      <c r="E24" s="5"/>
      <c r="F24" s="35" t="s">
        <v>288</v>
      </c>
      <c r="G24" s="35" t="s">
        <v>5</v>
      </c>
      <c r="H24" s="35" t="s">
        <v>9</v>
      </c>
      <c r="I24" s="49" t="s">
        <v>6</v>
      </c>
      <c r="J24" s="35"/>
    </row>
    <row r="25" spans="1:10" ht="19.75" customHeight="1" x14ac:dyDescent="0.35">
      <c r="A25" s="4"/>
      <c r="B25" s="4"/>
      <c r="C25" s="4"/>
      <c r="D25" s="4"/>
      <c r="E25" s="5"/>
      <c r="F25" s="35" t="s">
        <v>288</v>
      </c>
      <c r="G25" s="35" t="s">
        <v>5</v>
      </c>
      <c r="H25" s="35" t="s">
        <v>9</v>
      </c>
      <c r="I25" s="49" t="s">
        <v>6</v>
      </c>
      <c r="J25" s="35"/>
    </row>
    <row r="26" spans="1:10" ht="19.75" customHeight="1" x14ac:dyDescent="0.35">
      <c r="A26" s="4"/>
      <c r="B26" s="4"/>
      <c r="C26" s="4"/>
      <c r="D26" s="4"/>
      <c r="E26" s="5"/>
      <c r="F26" s="35" t="s">
        <v>288</v>
      </c>
      <c r="G26" s="35" t="s">
        <v>5</v>
      </c>
      <c r="H26" s="35" t="s">
        <v>9</v>
      </c>
      <c r="I26" s="49" t="s">
        <v>6</v>
      </c>
      <c r="J26" s="35"/>
    </row>
    <row r="27" spans="1:10" ht="19.75" customHeight="1" x14ac:dyDescent="0.35">
      <c r="A27" s="4"/>
      <c r="B27" s="4"/>
      <c r="C27" s="4"/>
      <c r="D27" s="4"/>
      <c r="E27" s="5"/>
      <c r="F27" s="35" t="s">
        <v>288</v>
      </c>
      <c r="G27" s="35" t="s">
        <v>5</v>
      </c>
      <c r="H27" s="35" t="s">
        <v>9</v>
      </c>
      <c r="I27" s="49" t="s">
        <v>6</v>
      </c>
      <c r="J27" s="35"/>
    </row>
    <row r="28" spans="1:10" ht="19.75" customHeight="1" x14ac:dyDescent="0.35"/>
    <row r="29" spans="1:10" ht="19.75" customHeight="1" thickBot="1" x14ac:dyDescent="0.65">
      <c r="A29" s="73" t="s">
        <v>3</v>
      </c>
      <c r="B29" s="74"/>
      <c r="C29" s="73"/>
      <c r="D29" s="74"/>
      <c r="E29" s="10" t="s">
        <v>10</v>
      </c>
      <c r="F29" s="75" t="s">
        <v>7</v>
      </c>
      <c r="G29" s="76"/>
      <c r="H29" s="76"/>
      <c r="I29" s="3"/>
    </row>
    <row r="30" spans="1:10" ht="19.75" customHeight="1" thickTop="1" x14ac:dyDescent="0.6">
      <c r="A30" s="35" t="s">
        <v>34</v>
      </c>
      <c r="B30" s="22"/>
      <c r="C30" s="22"/>
      <c r="D30" s="36"/>
      <c r="E30" s="23">
        <v>4</v>
      </c>
      <c r="F30" s="13" t="s">
        <v>11</v>
      </c>
      <c r="G30" s="77" t="s">
        <v>5</v>
      </c>
      <c r="H30" s="77"/>
      <c r="I30" s="14" t="s">
        <v>6</v>
      </c>
    </row>
    <row r="31" spans="1:10" ht="19.75" customHeight="1" x14ac:dyDescent="0.6">
      <c r="A31" s="23" t="s">
        <v>35</v>
      </c>
      <c r="B31" s="23"/>
      <c r="C31" s="23"/>
      <c r="D31" s="37"/>
      <c r="E31" s="23">
        <v>8</v>
      </c>
      <c r="F31" s="12" t="s">
        <v>11</v>
      </c>
      <c r="G31" s="72" t="s">
        <v>5</v>
      </c>
      <c r="H31" s="72"/>
      <c r="I31" s="11" t="s">
        <v>6</v>
      </c>
    </row>
    <row r="32" spans="1:10" ht="19.75" customHeight="1" x14ac:dyDescent="0.6">
      <c r="A32" s="23" t="s">
        <v>36</v>
      </c>
      <c r="B32" s="23"/>
      <c r="C32" s="23"/>
      <c r="D32" s="37"/>
      <c r="E32" s="23">
        <v>4</v>
      </c>
      <c r="F32" s="12" t="s">
        <v>11</v>
      </c>
      <c r="G32" s="72" t="s">
        <v>5</v>
      </c>
      <c r="H32" s="72"/>
      <c r="I32" s="11" t="s">
        <v>6</v>
      </c>
    </row>
    <row r="33" spans="1:9" ht="19.75" customHeight="1" x14ac:dyDescent="0.6">
      <c r="A33" s="23" t="s">
        <v>37</v>
      </c>
      <c r="B33" s="23"/>
      <c r="C33" s="23"/>
      <c r="D33" s="37"/>
      <c r="E33" s="23">
        <v>4</v>
      </c>
      <c r="F33" s="12" t="s">
        <v>11</v>
      </c>
      <c r="G33" s="72" t="s">
        <v>5</v>
      </c>
      <c r="H33" s="72"/>
      <c r="I33" s="11" t="s">
        <v>6</v>
      </c>
    </row>
    <row r="34" spans="1:9" ht="19.75" customHeight="1" x14ac:dyDescent="0.6">
      <c r="A34" s="38"/>
      <c r="B34" s="23"/>
      <c r="C34" s="23"/>
      <c r="D34" s="37"/>
      <c r="E34" s="23"/>
      <c r="F34" s="12" t="s">
        <v>11</v>
      </c>
      <c r="G34" s="72" t="s">
        <v>5</v>
      </c>
      <c r="H34" s="72"/>
      <c r="I34" s="11" t="s">
        <v>6</v>
      </c>
    </row>
    <row r="35" spans="1:9" ht="19.75" customHeight="1" x14ac:dyDescent="0.6">
      <c r="A35" s="8"/>
      <c r="B35" s="8"/>
      <c r="C35" s="8"/>
      <c r="D35" s="17"/>
      <c r="E35" s="8"/>
      <c r="F35" s="12" t="s">
        <v>11</v>
      </c>
      <c r="G35" s="72" t="s">
        <v>5</v>
      </c>
      <c r="H35" s="72"/>
      <c r="I35" s="11" t="s">
        <v>6</v>
      </c>
    </row>
    <row r="37" spans="1:9" ht="26" x14ac:dyDescent="0.6">
      <c r="A37" t="s">
        <v>12</v>
      </c>
      <c r="B37" s="11" t="s">
        <v>13</v>
      </c>
      <c r="D37" s="11" t="s">
        <v>15</v>
      </c>
      <c r="F37" s="11" t="s">
        <v>14</v>
      </c>
      <c r="G37" s="11" t="s">
        <v>16</v>
      </c>
    </row>
  </sheetData>
  <mergeCells count="12">
    <mergeCell ref="G35:H35"/>
    <mergeCell ref="B1:E1"/>
    <mergeCell ref="A3:D3"/>
    <mergeCell ref="E3:F3"/>
    <mergeCell ref="F5:H5"/>
    <mergeCell ref="A29:D29"/>
    <mergeCell ref="F29:H29"/>
    <mergeCell ref="G30:H30"/>
    <mergeCell ref="G31:H31"/>
    <mergeCell ref="G32:H32"/>
    <mergeCell ref="G33:H33"/>
    <mergeCell ref="G34:H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>
    <tabColor rgb="FFFF0000"/>
  </sheetPr>
  <dimension ref="A1:J47"/>
  <sheetViews>
    <sheetView showGridLines="0" view="pageLayout" zoomScaleNormal="100" workbookViewId="0">
      <selection activeCell="D24" sqref="D24"/>
    </sheetView>
  </sheetViews>
  <sheetFormatPr baseColWidth="10" defaultColWidth="11.453125" defaultRowHeight="14.5" x14ac:dyDescent="0.35"/>
  <cols>
    <col min="1" max="1" width="12.1796875" customWidth="1"/>
    <col min="2" max="2" width="4" customWidth="1"/>
    <col min="3" max="3" width="8.81640625" customWidth="1"/>
    <col min="4" max="4" width="14.26953125" customWidth="1"/>
    <col min="5" max="5" width="6.453125" customWidth="1"/>
    <col min="6" max="6" width="16.6328125" customWidth="1"/>
    <col min="7" max="7" width="8" customWidth="1"/>
    <col min="8" max="8" width="9.1796875" customWidth="1"/>
    <col min="9" max="9" width="9.453125" customWidth="1"/>
    <col min="10" max="10" width="9.26953125" customWidth="1"/>
  </cols>
  <sheetData>
    <row r="1" spans="1:10" ht="23.5" customHeight="1" x14ac:dyDescent="0.35">
      <c r="A1" s="42" t="s">
        <v>0</v>
      </c>
      <c r="B1" s="86" t="s">
        <v>267</v>
      </c>
      <c r="C1" s="86"/>
      <c r="D1" s="86"/>
      <c r="E1" s="86"/>
      <c r="F1" s="43"/>
      <c r="G1" s="44" t="s">
        <v>4</v>
      </c>
      <c r="H1" s="45">
        <f>SUM(E6:E45)</f>
        <v>280</v>
      </c>
    </row>
    <row r="2" spans="1:10" ht="16" customHeight="1" x14ac:dyDescent="0.6">
      <c r="G2" s="3" t="s">
        <v>8</v>
      </c>
      <c r="H2">
        <v>0</v>
      </c>
    </row>
    <row r="3" spans="1:10" ht="16.5" customHeight="1" x14ac:dyDescent="0.55000000000000004">
      <c r="A3" s="79" t="s">
        <v>1</v>
      </c>
      <c r="B3" s="79"/>
      <c r="C3" s="80"/>
      <c r="D3" s="80"/>
      <c r="E3" s="18" t="s">
        <v>38</v>
      </c>
      <c r="G3" t="s">
        <v>227</v>
      </c>
      <c r="H3" t="s">
        <v>229</v>
      </c>
    </row>
    <row r="4" spans="1:10" x14ac:dyDescent="0.35">
      <c r="G4" t="s">
        <v>289</v>
      </c>
      <c r="H4">
        <f>SUM(J6:J25)</f>
        <v>34361</v>
      </c>
    </row>
    <row r="5" spans="1:10" s="3" customFormat="1" ht="20.2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400</v>
      </c>
      <c r="G5" s="76"/>
      <c r="H5" s="76"/>
      <c r="J5" s="18" t="s">
        <v>289</v>
      </c>
    </row>
    <row r="6" spans="1:10" ht="26.5" thickTop="1" x14ac:dyDescent="0.6">
      <c r="A6" s="4" t="s">
        <v>231</v>
      </c>
      <c r="B6" s="4" t="s">
        <v>232</v>
      </c>
      <c r="C6" s="4"/>
      <c r="D6" s="4"/>
      <c r="E6" s="9">
        <v>2</v>
      </c>
      <c r="F6" s="67" t="s">
        <v>401</v>
      </c>
      <c r="G6" s="67" t="s">
        <v>402</v>
      </c>
      <c r="H6" s="67" t="s">
        <v>403</v>
      </c>
      <c r="I6" s="67" t="s">
        <v>404</v>
      </c>
      <c r="J6" s="70">
        <f>710+690</f>
        <v>1400</v>
      </c>
    </row>
    <row r="7" spans="1:10" ht="26" x14ac:dyDescent="0.6">
      <c r="A7" s="4" t="s">
        <v>233</v>
      </c>
      <c r="B7" s="4" t="s">
        <v>234</v>
      </c>
      <c r="C7" s="4"/>
      <c r="D7" s="4"/>
      <c r="E7" s="5">
        <v>4</v>
      </c>
      <c r="F7" s="68" t="s">
        <v>401</v>
      </c>
      <c r="G7" s="3" t="s">
        <v>402</v>
      </c>
      <c r="H7" s="3" t="s">
        <v>403</v>
      </c>
      <c r="I7" s="3" t="s">
        <v>404</v>
      </c>
      <c r="J7" s="70">
        <f>E7*2450</f>
        <v>9800</v>
      </c>
    </row>
    <row r="8" spans="1:10" ht="26" x14ac:dyDescent="0.6">
      <c r="A8" s="4" t="s">
        <v>235</v>
      </c>
      <c r="B8" s="4" t="s">
        <v>236</v>
      </c>
      <c r="C8" s="4"/>
      <c r="D8" s="4"/>
      <c r="E8" s="5">
        <v>4</v>
      </c>
      <c r="F8" s="68" t="s">
        <v>401</v>
      </c>
      <c r="G8" s="3" t="s">
        <v>402</v>
      </c>
      <c r="H8" s="3" t="s">
        <v>403</v>
      </c>
      <c r="I8" s="3" t="s">
        <v>404</v>
      </c>
      <c r="J8" s="70">
        <f>E8*4800</f>
        <v>19200</v>
      </c>
    </row>
    <row r="9" spans="1:10" ht="26" x14ac:dyDescent="0.6">
      <c r="A9" s="4" t="s">
        <v>237</v>
      </c>
      <c r="B9" s="4" t="s">
        <v>238</v>
      </c>
      <c r="C9" s="4"/>
      <c r="D9" s="4"/>
      <c r="E9" s="5">
        <v>8</v>
      </c>
      <c r="F9" s="68" t="s">
        <v>401</v>
      </c>
      <c r="G9" s="3" t="s">
        <v>402</v>
      </c>
      <c r="H9" s="3" t="s">
        <v>403</v>
      </c>
      <c r="I9" s="3" t="s">
        <v>404</v>
      </c>
      <c r="J9" s="69" t="s">
        <v>408</v>
      </c>
    </row>
    <row r="10" spans="1:10" ht="26" x14ac:dyDescent="0.6">
      <c r="A10" s="4" t="s">
        <v>239</v>
      </c>
      <c r="B10" s="4" t="s">
        <v>240</v>
      </c>
      <c r="C10" s="4"/>
      <c r="D10" s="4"/>
      <c r="E10" s="5">
        <v>2</v>
      </c>
      <c r="F10" s="68" t="s">
        <v>401</v>
      </c>
      <c r="G10" s="3" t="s">
        <v>402</v>
      </c>
      <c r="H10" s="3" t="s">
        <v>403</v>
      </c>
      <c r="I10" s="3" t="s">
        <v>404</v>
      </c>
      <c r="J10" s="70">
        <f>670*E10</f>
        <v>1340</v>
      </c>
    </row>
    <row r="11" spans="1:10" ht="26" x14ac:dyDescent="0.6">
      <c r="A11" s="4" t="s">
        <v>39</v>
      </c>
      <c r="B11" s="4" t="s">
        <v>39</v>
      </c>
      <c r="C11" s="4"/>
      <c r="D11" s="4"/>
      <c r="E11" s="5">
        <v>2</v>
      </c>
      <c r="F11" s="68" t="s">
        <v>401</v>
      </c>
      <c r="G11" s="3" t="s">
        <v>402</v>
      </c>
      <c r="H11" s="3" t="s">
        <v>403</v>
      </c>
      <c r="I11" s="3" t="s">
        <v>404</v>
      </c>
      <c r="J11" s="70"/>
    </row>
    <row r="12" spans="1:10" ht="26" x14ac:dyDescent="0.6">
      <c r="A12" s="4" t="s">
        <v>241</v>
      </c>
      <c r="B12" s="4" t="s">
        <v>242</v>
      </c>
      <c r="C12" s="4"/>
      <c r="D12" s="4"/>
      <c r="E12" s="5">
        <v>2</v>
      </c>
      <c r="F12" s="68" t="s">
        <v>401</v>
      </c>
      <c r="G12" s="3" t="s">
        <v>402</v>
      </c>
      <c r="H12" s="3" t="s">
        <v>403</v>
      </c>
      <c r="I12" s="3" t="s">
        <v>404</v>
      </c>
      <c r="J12" s="70"/>
    </row>
    <row r="13" spans="1:10" ht="26" x14ac:dyDescent="0.6">
      <c r="A13" s="4" t="s">
        <v>243</v>
      </c>
      <c r="B13" s="4" t="s">
        <v>244</v>
      </c>
      <c r="C13" s="4"/>
      <c r="D13" s="4"/>
      <c r="E13" s="5">
        <v>2</v>
      </c>
      <c r="F13" s="68" t="s">
        <v>401</v>
      </c>
      <c r="G13" s="3" t="s">
        <v>402</v>
      </c>
      <c r="H13" s="3" t="s">
        <v>403</v>
      </c>
      <c r="I13" s="3" t="s">
        <v>404</v>
      </c>
      <c r="J13" s="70"/>
    </row>
    <row r="14" spans="1:10" ht="26" x14ac:dyDescent="0.6">
      <c r="A14" s="4" t="s">
        <v>245</v>
      </c>
      <c r="B14" s="4" t="s">
        <v>246</v>
      </c>
      <c r="C14" s="4"/>
      <c r="D14" s="4"/>
      <c r="E14" s="5">
        <v>4</v>
      </c>
      <c r="F14" s="68" t="s">
        <v>401</v>
      </c>
      <c r="G14" s="3" t="s">
        <v>402</v>
      </c>
      <c r="H14" s="3" t="s">
        <v>403</v>
      </c>
      <c r="I14" s="3" t="s">
        <v>404</v>
      </c>
      <c r="J14" s="70"/>
    </row>
    <row r="15" spans="1:10" ht="26" x14ac:dyDescent="0.6">
      <c r="A15" s="4" t="s">
        <v>248</v>
      </c>
      <c r="B15" s="4" t="s">
        <v>249</v>
      </c>
      <c r="C15" s="4"/>
      <c r="D15" s="4"/>
      <c r="E15" s="5">
        <v>2</v>
      </c>
      <c r="F15" s="68" t="s">
        <v>401</v>
      </c>
      <c r="G15" s="3" t="s">
        <v>402</v>
      </c>
      <c r="H15" s="3" t="s">
        <v>403</v>
      </c>
      <c r="I15" s="3" t="s">
        <v>404</v>
      </c>
      <c r="J15" s="70"/>
    </row>
    <row r="16" spans="1:10" ht="26" x14ac:dyDescent="0.6">
      <c r="A16" s="4" t="s">
        <v>40</v>
      </c>
      <c r="B16" s="4" t="s">
        <v>247</v>
      </c>
      <c r="C16" s="4"/>
      <c r="D16" s="4"/>
      <c r="E16" s="5">
        <v>24</v>
      </c>
      <c r="F16" s="68" t="s">
        <v>401</v>
      </c>
      <c r="G16" s="3" t="s">
        <v>402</v>
      </c>
      <c r="H16" s="3" t="s">
        <v>403</v>
      </c>
      <c r="I16" s="3" t="s">
        <v>404</v>
      </c>
      <c r="J16" s="70"/>
    </row>
    <row r="17" spans="1:10" ht="26" x14ac:dyDescent="0.6">
      <c r="A17" s="4" t="s">
        <v>41</v>
      </c>
      <c r="B17" s="4" t="s">
        <v>250</v>
      </c>
      <c r="C17" s="4"/>
      <c r="D17" s="4"/>
      <c r="E17" s="5">
        <v>4</v>
      </c>
      <c r="F17" s="68" t="s">
        <v>401</v>
      </c>
      <c r="G17" s="3" t="s">
        <v>402</v>
      </c>
      <c r="H17" s="3" t="s">
        <v>403</v>
      </c>
      <c r="I17" s="3" t="s">
        <v>404</v>
      </c>
      <c r="J17" s="70"/>
    </row>
    <row r="18" spans="1:10" ht="26" x14ac:dyDescent="0.6">
      <c r="A18" s="4" t="s">
        <v>42</v>
      </c>
      <c r="B18" s="4" t="s">
        <v>247</v>
      </c>
      <c r="C18" s="4"/>
      <c r="D18" s="4"/>
      <c r="E18" s="5">
        <v>4</v>
      </c>
      <c r="F18" s="68" t="s">
        <v>401</v>
      </c>
      <c r="G18" s="3" t="s">
        <v>402</v>
      </c>
      <c r="H18" s="3" t="s">
        <v>403</v>
      </c>
      <c r="I18" s="3" t="s">
        <v>404</v>
      </c>
      <c r="J18" s="70"/>
    </row>
    <row r="19" spans="1:10" ht="26" x14ac:dyDescent="0.6">
      <c r="A19" s="4" t="s">
        <v>251</v>
      </c>
      <c r="B19" s="4" t="s">
        <v>252</v>
      </c>
      <c r="C19" s="4"/>
      <c r="D19" s="4"/>
      <c r="E19" s="5">
        <v>4</v>
      </c>
      <c r="F19" s="68" t="s">
        <v>401</v>
      </c>
      <c r="G19" s="3" t="s">
        <v>402</v>
      </c>
      <c r="H19" s="3" t="s">
        <v>403</v>
      </c>
      <c r="I19" s="3" t="s">
        <v>404</v>
      </c>
      <c r="J19" s="70"/>
    </row>
    <row r="20" spans="1:10" ht="26" x14ac:dyDescent="0.6">
      <c r="A20" s="4" t="s">
        <v>253</v>
      </c>
      <c r="B20" s="4" t="s">
        <v>254</v>
      </c>
      <c r="C20" s="4"/>
      <c r="D20" s="4"/>
      <c r="E20" s="5">
        <v>6</v>
      </c>
      <c r="F20" s="68" t="s">
        <v>401</v>
      </c>
      <c r="G20" s="3" t="s">
        <v>402</v>
      </c>
      <c r="H20" s="3" t="s">
        <v>403</v>
      </c>
      <c r="I20" s="3" t="s">
        <v>404</v>
      </c>
      <c r="J20" s="70"/>
    </row>
    <row r="21" spans="1:10" ht="26" x14ac:dyDescent="0.6">
      <c r="A21" s="4" t="s">
        <v>255</v>
      </c>
      <c r="B21" s="4" t="s">
        <v>256</v>
      </c>
      <c r="C21" s="4"/>
      <c r="D21" s="4"/>
      <c r="E21" s="5">
        <v>2</v>
      </c>
      <c r="F21" s="68" t="s">
        <v>401</v>
      </c>
      <c r="G21" s="3" t="s">
        <v>402</v>
      </c>
      <c r="H21" s="3" t="s">
        <v>403</v>
      </c>
      <c r="I21" s="3" t="s">
        <v>404</v>
      </c>
      <c r="J21" s="70"/>
    </row>
    <row r="22" spans="1:10" ht="26" x14ac:dyDescent="0.6">
      <c r="A22" s="4" t="s">
        <v>43</v>
      </c>
      <c r="B22" s="4" t="s">
        <v>247</v>
      </c>
      <c r="C22" s="4"/>
      <c r="D22" s="4"/>
      <c r="E22" s="5">
        <v>8</v>
      </c>
      <c r="F22" s="68" t="s">
        <v>401</v>
      </c>
      <c r="G22" s="3" t="s">
        <v>402</v>
      </c>
      <c r="H22" s="3" t="s">
        <v>403</v>
      </c>
      <c r="I22" s="3" t="s">
        <v>404</v>
      </c>
      <c r="J22" s="70"/>
    </row>
    <row r="23" spans="1:10" ht="26" x14ac:dyDescent="0.6">
      <c r="A23" s="4" t="s">
        <v>257</v>
      </c>
      <c r="B23" s="4" t="s">
        <v>258</v>
      </c>
      <c r="C23" s="4"/>
      <c r="D23" s="4"/>
      <c r="E23" s="5">
        <v>2</v>
      </c>
      <c r="F23" s="68" t="s">
        <v>401</v>
      </c>
      <c r="G23" s="3" t="s">
        <v>402</v>
      </c>
      <c r="H23" s="3" t="s">
        <v>403</v>
      </c>
      <c r="I23" s="3" t="s">
        <v>404</v>
      </c>
      <c r="J23" s="70">
        <f>738+743</f>
        <v>1481</v>
      </c>
    </row>
    <row r="24" spans="1:10" ht="26" x14ac:dyDescent="0.6">
      <c r="A24" s="4" t="s">
        <v>259</v>
      </c>
      <c r="B24" s="4" t="s">
        <v>260</v>
      </c>
      <c r="C24" s="4"/>
      <c r="D24" s="4"/>
      <c r="E24" s="5">
        <v>2</v>
      </c>
      <c r="F24" s="68" t="s">
        <v>401</v>
      </c>
      <c r="G24" s="3" t="s">
        <v>402</v>
      </c>
      <c r="H24" s="3" t="s">
        <v>403</v>
      </c>
      <c r="I24" s="3" t="s">
        <v>404</v>
      </c>
      <c r="J24" s="70">
        <f>570*E24</f>
        <v>1140</v>
      </c>
    </row>
    <row r="25" spans="1:10" ht="26" x14ac:dyDescent="0.6">
      <c r="A25" s="4" t="s">
        <v>261</v>
      </c>
      <c r="B25" s="4" t="s">
        <v>244</v>
      </c>
      <c r="C25" s="4"/>
      <c r="D25" s="4"/>
      <c r="E25" s="5">
        <v>2</v>
      </c>
      <c r="F25" s="68" t="s">
        <v>401</v>
      </c>
      <c r="G25" s="3" t="s">
        <v>402</v>
      </c>
      <c r="H25" s="3" t="s">
        <v>403</v>
      </c>
      <c r="I25" s="3" t="s">
        <v>404</v>
      </c>
      <c r="J25" s="70"/>
    </row>
    <row r="26" spans="1:10" ht="26" x14ac:dyDescent="0.6">
      <c r="A26" s="4" t="s">
        <v>262</v>
      </c>
      <c r="B26" s="4" t="s">
        <v>263</v>
      </c>
      <c r="C26" s="4"/>
      <c r="D26" s="4"/>
      <c r="E26" s="5">
        <v>2</v>
      </c>
      <c r="F26" s="68" t="s">
        <v>401</v>
      </c>
      <c r="G26" s="3" t="s">
        <v>402</v>
      </c>
      <c r="H26" s="3" t="s">
        <v>403</v>
      </c>
      <c r="I26" s="3" t="s">
        <v>404</v>
      </c>
      <c r="J26" s="70"/>
    </row>
    <row r="27" spans="1:10" ht="26" x14ac:dyDescent="0.6">
      <c r="A27" s="4" t="s">
        <v>205</v>
      </c>
      <c r="B27" s="4" t="s">
        <v>264</v>
      </c>
      <c r="C27" s="4"/>
      <c r="D27" s="4"/>
      <c r="E27" s="5">
        <v>2</v>
      </c>
      <c r="F27" s="68" t="s">
        <v>405</v>
      </c>
      <c r="G27" s="3" t="s">
        <v>402</v>
      </c>
      <c r="H27" s="3" t="s">
        <v>403</v>
      </c>
      <c r="I27" s="3" t="s">
        <v>404</v>
      </c>
      <c r="J27" s="70"/>
    </row>
    <row r="28" spans="1:10" ht="26" x14ac:dyDescent="0.6">
      <c r="A28" s="4" t="s">
        <v>206</v>
      </c>
      <c r="B28" s="4" t="s">
        <v>265</v>
      </c>
      <c r="C28" s="4"/>
      <c r="D28" s="4"/>
      <c r="E28" s="5">
        <v>2</v>
      </c>
      <c r="F28" s="68" t="s">
        <v>405</v>
      </c>
      <c r="G28" s="3" t="s">
        <v>402</v>
      </c>
      <c r="H28" s="3" t="s">
        <v>403</v>
      </c>
      <c r="I28" s="3" t="s">
        <v>404</v>
      </c>
      <c r="J28" s="70"/>
    </row>
    <row r="29" spans="1:10" ht="26" x14ac:dyDescent="0.6">
      <c r="A29" s="4"/>
      <c r="B29" s="4"/>
      <c r="C29" s="4"/>
      <c r="D29" s="4"/>
      <c r="E29" s="5"/>
      <c r="F29" s="68"/>
      <c r="G29" s="3"/>
      <c r="H29" s="3"/>
      <c r="I29" s="3"/>
    </row>
    <row r="30" spans="1:10" ht="26.5" thickBot="1" x14ac:dyDescent="0.65">
      <c r="A30" s="73" t="s">
        <v>3</v>
      </c>
      <c r="B30" s="74"/>
      <c r="C30" s="73"/>
      <c r="D30" s="74"/>
      <c r="E30" s="10" t="s">
        <v>10</v>
      </c>
      <c r="F30" s="73" t="s">
        <v>400</v>
      </c>
      <c r="G30" s="74"/>
      <c r="H30" s="73"/>
      <c r="I30" s="3"/>
    </row>
    <row r="31" spans="1:10" ht="26.5" thickTop="1" x14ac:dyDescent="0.6">
      <c r="A31" s="4" t="s">
        <v>207</v>
      </c>
      <c r="B31" s="4" t="s">
        <v>266</v>
      </c>
      <c r="C31" s="4"/>
      <c r="D31" s="4"/>
      <c r="E31" s="5">
        <v>4</v>
      </c>
      <c r="F31" s="68" t="s">
        <v>405</v>
      </c>
      <c r="G31" s="3" t="s">
        <v>402</v>
      </c>
      <c r="H31" s="3" t="s">
        <v>403</v>
      </c>
      <c r="I31" s="3" t="s">
        <v>404</v>
      </c>
    </row>
    <row r="32" spans="1:10" ht="26" x14ac:dyDescent="0.6">
      <c r="A32" s="4" t="s">
        <v>208</v>
      </c>
      <c r="B32" s="4" t="s">
        <v>247</v>
      </c>
      <c r="C32" s="4"/>
      <c r="D32" s="4"/>
      <c r="E32" s="5">
        <v>4</v>
      </c>
      <c r="F32" s="68" t="s">
        <v>405</v>
      </c>
      <c r="G32" s="3" t="s">
        <v>402</v>
      </c>
      <c r="H32" s="3" t="s">
        <v>403</v>
      </c>
      <c r="I32" s="3" t="s">
        <v>404</v>
      </c>
    </row>
    <row r="33" spans="1:9" ht="26" x14ac:dyDescent="0.6">
      <c r="A33" s="4" t="s">
        <v>209</v>
      </c>
      <c r="B33" s="4" t="s">
        <v>247</v>
      </c>
      <c r="C33" s="4"/>
      <c r="D33" s="4"/>
      <c r="E33" s="5">
        <v>12</v>
      </c>
      <c r="F33" s="68" t="s">
        <v>405</v>
      </c>
      <c r="G33" s="3" t="s">
        <v>402</v>
      </c>
      <c r="H33" s="3" t="s">
        <v>403</v>
      </c>
      <c r="I33" s="3" t="s">
        <v>404</v>
      </c>
    </row>
    <row r="34" spans="1:9" ht="26" x14ac:dyDescent="0.6">
      <c r="A34" s="4" t="s">
        <v>210</v>
      </c>
      <c r="B34" s="4" t="s">
        <v>247</v>
      </c>
      <c r="C34" s="4"/>
      <c r="D34" s="4"/>
      <c r="E34" s="5">
        <v>12</v>
      </c>
      <c r="F34" s="68" t="s">
        <v>405</v>
      </c>
      <c r="G34" s="3" t="s">
        <v>402</v>
      </c>
      <c r="H34" s="3" t="s">
        <v>403</v>
      </c>
      <c r="I34" s="3" t="s">
        <v>404</v>
      </c>
    </row>
    <row r="35" spans="1:9" ht="26" x14ac:dyDescent="0.6">
      <c r="A35" s="4" t="s">
        <v>211</v>
      </c>
      <c r="B35" s="4" t="s">
        <v>247</v>
      </c>
      <c r="C35" s="4"/>
      <c r="D35" s="4"/>
      <c r="E35" s="5">
        <v>24</v>
      </c>
      <c r="F35" s="68" t="s">
        <v>405</v>
      </c>
      <c r="G35" s="3" t="s">
        <v>402</v>
      </c>
      <c r="H35" s="3" t="s">
        <v>403</v>
      </c>
      <c r="I35" s="3" t="s">
        <v>404</v>
      </c>
    </row>
    <row r="36" spans="1:9" ht="26" x14ac:dyDescent="0.6">
      <c r="A36" s="4" t="s">
        <v>52</v>
      </c>
      <c r="B36" s="4" t="s">
        <v>247</v>
      </c>
      <c r="C36" s="4"/>
      <c r="D36" s="4"/>
      <c r="E36" s="5">
        <v>8</v>
      </c>
      <c r="F36" s="68" t="s">
        <v>405</v>
      </c>
      <c r="G36" s="3" t="s">
        <v>402</v>
      </c>
      <c r="H36" s="3" t="s">
        <v>403</v>
      </c>
      <c r="I36" s="3" t="s">
        <v>404</v>
      </c>
    </row>
    <row r="37" spans="1:9" ht="26" x14ac:dyDescent="0.6">
      <c r="A37" s="4" t="s">
        <v>44</v>
      </c>
      <c r="B37" s="4" t="s">
        <v>247</v>
      </c>
      <c r="C37" s="4"/>
      <c r="D37" s="4"/>
      <c r="E37" s="5">
        <v>20</v>
      </c>
      <c r="F37" s="68" t="s">
        <v>405</v>
      </c>
      <c r="G37" s="3" t="s">
        <v>402</v>
      </c>
      <c r="H37" s="3" t="s">
        <v>403</v>
      </c>
      <c r="I37" s="3" t="s">
        <v>404</v>
      </c>
    </row>
    <row r="38" spans="1:9" ht="26" x14ac:dyDescent="0.6">
      <c r="A38" s="4" t="s">
        <v>45</v>
      </c>
      <c r="B38" s="4" t="s">
        <v>247</v>
      </c>
      <c r="C38" s="4"/>
      <c r="D38" s="4"/>
      <c r="E38" s="5">
        <v>40</v>
      </c>
      <c r="F38" s="68" t="s">
        <v>405</v>
      </c>
      <c r="G38" s="3" t="s">
        <v>402</v>
      </c>
      <c r="H38" s="3" t="s">
        <v>403</v>
      </c>
      <c r="I38" s="3" t="s">
        <v>404</v>
      </c>
    </row>
    <row r="39" spans="1:9" ht="26" x14ac:dyDescent="0.6">
      <c r="A39" s="4" t="s">
        <v>46</v>
      </c>
      <c r="B39" s="4" t="s">
        <v>247</v>
      </c>
      <c r="C39" s="4"/>
      <c r="D39" s="4"/>
      <c r="E39" s="5">
        <v>6</v>
      </c>
      <c r="F39" s="68" t="s">
        <v>405</v>
      </c>
      <c r="G39" s="3" t="s">
        <v>402</v>
      </c>
      <c r="H39" s="3" t="s">
        <v>403</v>
      </c>
      <c r="I39" s="3" t="s">
        <v>404</v>
      </c>
    </row>
    <row r="40" spans="1:9" ht="26" x14ac:dyDescent="0.6">
      <c r="A40" s="4" t="s">
        <v>47</v>
      </c>
      <c r="B40" s="4" t="s">
        <v>247</v>
      </c>
      <c r="C40" s="4"/>
      <c r="D40" s="4"/>
      <c r="E40" s="5">
        <v>6</v>
      </c>
      <c r="F40" s="68" t="s">
        <v>405</v>
      </c>
      <c r="G40" s="3" t="s">
        <v>402</v>
      </c>
      <c r="H40" s="3" t="s">
        <v>403</v>
      </c>
      <c r="I40" s="3" t="s">
        <v>404</v>
      </c>
    </row>
    <row r="41" spans="1:9" ht="26" x14ac:dyDescent="0.6">
      <c r="A41" s="4" t="s">
        <v>48</v>
      </c>
      <c r="B41" s="4" t="s">
        <v>247</v>
      </c>
      <c r="C41" s="4"/>
      <c r="D41" s="4"/>
      <c r="E41" s="5">
        <v>8</v>
      </c>
      <c r="F41" s="68" t="s">
        <v>405</v>
      </c>
      <c r="G41" s="3" t="s">
        <v>402</v>
      </c>
      <c r="H41" s="3" t="s">
        <v>403</v>
      </c>
      <c r="I41" s="3" t="s">
        <v>404</v>
      </c>
    </row>
    <row r="42" spans="1:9" ht="26" x14ac:dyDescent="0.6">
      <c r="A42" s="4" t="s">
        <v>49</v>
      </c>
      <c r="B42" s="4" t="s">
        <v>247</v>
      </c>
      <c r="C42" s="4"/>
      <c r="D42" s="4"/>
      <c r="E42" s="5">
        <v>12</v>
      </c>
      <c r="F42" s="68" t="s">
        <v>405</v>
      </c>
      <c r="G42" s="3" t="s">
        <v>402</v>
      </c>
      <c r="H42" s="3" t="s">
        <v>403</v>
      </c>
      <c r="I42" s="3" t="s">
        <v>404</v>
      </c>
    </row>
    <row r="43" spans="1:9" ht="26" x14ac:dyDescent="0.6">
      <c r="A43" s="4" t="s">
        <v>50</v>
      </c>
      <c r="B43" s="4" t="s">
        <v>247</v>
      </c>
      <c r="C43" s="4"/>
      <c r="D43" s="4"/>
      <c r="E43" s="5">
        <v>24</v>
      </c>
      <c r="F43" s="68" t="s">
        <v>405</v>
      </c>
      <c r="G43" s="3" t="s">
        <v>402</v>
      </c>
      <c r="H43" s="3" t="s">
        <v>403</v>
      </c>
      <c r="I43" s="3" t="s">
        <v>404</v>
      </c>
    </row>
    <row r="44" spans="1:9" ht="26" x14ac:dyDescent="0.6">
      <c r="A44" s="4" t="s">
        <v>51</v>
      </c>
      <c r="B44" s="4" t="s">
        <v>247</v>
      </c>
      <c r="C44" s="4"/>
      <c r="D44" s="4"/>
      <c r="E44" s="5">
        <v>4</v>
      </c>
      <c r="F44" s="68" t="s">
        <v>405</v>
      </c>
      <c r="G44" s="3" t="s">
        <v>402</v>
      </c>
      <c r="H44" s="3" t="s">
        <v>403</v>
      </c>
      <c r="I44" s="3" t="s">
        <v>404</v>
      </c>
    </row>
    <row r="45" spans="1:9" ht="26" x14ac:dyDescent="0.6">
      <c r="G45" s="3"/>
      <c r="H45" s="3"/>
      <c r="I45" s="3"/>
    </row>
    <row r="47" spans="1:9" ht="26" x14ac:dyDescent="0.6">
      <c r="F47" s="3" t="s">
        <v>406</v>
      </c>
      <c r="G47" s="3" t="s">
        <v>407</v>
      </c>
    </row>
  </sheetData>
  <mergeCells count="5">
    <mergeCell ref="A30:D30"/>
    <mergeCell ref="F30:H30"/>
    <mergeCell ref="B1:E1"/>
    <mergeCell ref="A3:D3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0000"/>
  </sheetPr>
  <dimension ref="A1:J38"/>
  <sheetViews>
    <sheetView showGridLines="0" view="pageLayout" zoomScaleNormal="100" workbookViewId="0">
      <selection activeCell="A4" sqref="A4:J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7.17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8.08984375" customWidth="1"/>
  </cols>
  <sheetData>
    <row r="1" spans="1:10" ht="26" x14ac:dyDescent="0.6">
      <c r="A1" s="2" t="s">
        <v>0</v>
      </c>
      <c r="B1" s="78" t="s">
        <v>53</v>
      </c>
      <c r="C1" s="78"/>
      <c r="D1" s="78"/>
      <c r="E1" s="78"/>
      <c r="F1" s="1"/>
      <c r="G1" s="3" t="s">
        <v>4</v>
      </c>
      <c r="H1">
        <f>SUM(E6:E36)</f>
        <v>122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54</v>
      </c>
      <c r="G3" t="s">
        <v>227</v>
      </c>
      <c r="H3" t="s">
        <v>228</v>
      </c>
    </row>
    <row r="4" spans="1:10" x14ac:dyDescent="0.35">
      <c r="G4" t="s">
        <v>341</v>
      </c>
      <c r="H4">
        <f>SUM(J6:J43)</f>
        <v>1602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I5" s="52"/>
      <c r="J5" s="18" t="s">
        <v>289</v>
      </c>
    </row>
    <row r="6" spans="1:10" s="3" customFormat="1" ht="20.25" customHeight="1" thickTop="1" x14ac:dyDescent="0.6">
      <c r="A6" t="s">
        <v>55</v>
      </c>
      <c r="B6" s="15"/>
      <c r="C6" s="15"/>
      <c r="D6" s="15"/>
      <c r="E6" s="6">
        <v>2</v>
      </c>
      <c r="F6" s="13" t="s">
        <v>288</v>
      </c>
      <c r="G6" s="14" t="s">
        <v>5</v>
      </c>
      <c r="H6" s="14" t="s">
        <v>9</v>
      </c>
      <c r="I6" s="14" t="s">
        <v>6</v>
      </c>
    </row>
    <row r="7" spans="1:10" ht="20.25" customHeight="1" x14ac:dyDescent="0.6">
      <c r="A7" t="s">
        <v>56</v>
      </c>
      <c r="B7" s="4"/>
      <c r="C7" s="4"/>
      <c r="D7" s="4"/>
      <c r="E7" s="9">
        <v>2</v>
      </c>
      <c r="F7" s="12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t="s">
        <v>57</v>
      </c>
      <c r="B8" s="4"/>
      <c r="C8" s="4"/>
      <c r="D8" s="4"/>
      <c r="E8" s="9">
        <v>2</v>
      </c>
      <c r="F8" s="12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t="s">
        <v>58</v>
      </c>
      <c r="B9" s="4"/>
      <c r="C9" s="4"/>
      <c r="D9" s="4"/>
      <c r="E9" s="9">
        <v>2</v>
      </c>
      <c r="F9" s="12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t="s">
        <v>59</v>
      </c>
      <c r="B10" s="4"/>
      <c r="C10" s="4"/>
      <c r="D10" s="4"/>
      <c r="E10" s="9">
        <v>2</v>
      </c>
      <c r="F10" s="12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t="s">
        <v>60</v>
      </c>
      <c r="B11" s="4"/>
      <c r="C11" s="4"/>
      <c r="D11" s="4"/>
      <c r="E11" s="9">
        <v>2</v>
      </c>
      <c r="F11" s="12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t="s">
        <v>61</v>
      </c>
      <c r="B12" s="4"/>
      <c r="C12" s="4"/>
      <c r="D12" s="4"/>
      <c r="E12" s="9">
        <v>2</v>
      </c>
      <c r="F12" s="12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t="s">
        <v>62</v>
      </c>
      <c r="B13" s="4"/>
      <c r="C13" s="4"/>
      <c r="D13" s="4"/>
      <c r="E13" s="9">
        <v>2</v>
      </c>
      <c r="F13" s="12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t="s">
        <v>63</v>
      </c>
      <c r="B14" s="4"/>
      <c r="C14" s="4"/>
      <c r="D14" s="4"/>
      <c r="E14" s="9">
        <v>2</v>
      </c>
      <c r="F14" s="12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t="s">
        <v>64</v>
      </c>
      <c r="B15" s="4"/>
      <c r="C15" s="4"/>
      <c r="D15" s="4"/>
      <c r="E15" s="9">
        <v>2</v>
      </c>
      <c r="F15" s="12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t="s">
        <v>65</v>
      </c>
      <c r="B16" s="4"/>
      <c r="C16" s="4"/>
      <c r="D16" s="4"/>
      <c r="E16" s="9">
        <v>2</v>
      </c>
      <c r="F16" s="12" t="s">
        <v>288</v>
      </c>
      <c r="G16" s="11" t="s">
        <v>5</v>
      </c>
      <c r="H16" s="11" t="s">
        <v>9</v>
      </c>
      <c r="I16" s="11" t="s">
        <v>6</v>
      </c>
    </row>
    <row r="17" spans="1:10" ht="20.25" customHeight="1" x14ac:dyDescent="0.6">
      <c r="A17" t="s">
        <v>66</v>
      </c>
      <c r="B17" s="4"/>
      <c r="C17" s="4"/>
      <c r="D17" s="4"/>
      <c r="E17" s="9">
        <v>2</v>
      </c>
      <c r="F17" s="12" t="s">
        <v>288</v>
      </c>
      <c r="G17" s="11" t="s">
        <v>5</v>
      </c>
      <c r="H17" s="11" t="s">
        <v>9</v>
      </c>
      <c r="I17" s="11" t="s">
        <v>6</v>
      </c>
    </row>
    <row r="18" spans="1:10" ht="20.25" customHeight="1" x14ac:dyDescent="0.6">
      <c r="A18" t="s">
        <v>67</v>
      </c>
      <c r="B18" s="4"/>
      <c r="C18" s="4"/>
      <c r="D18" s="4"/>
      <c r="E18" s="9">
        <v>2</v>
      </c>
      <c r="F18" s="12" t="s">
        <v>288</v>
      </c>
      <c r="G18" s="11" t="s">
        <v>5</v>
      </c>
      <c r="H18" s="11" t="s">
        <v>9</v>
      </c>
      <c r="I18" s="11" t="s">
        <v>6</v>
      </c>
    </row>
    <row r="19" spans="1:10" ht="20.25" customHeight="1" x14ac:dyDescent="0.6">
      <c r="A19" t="s">
        <v>68</v>
      </c>
      <c r="B19" s="4"/>
      <c r="C19" s="4"/>
      <c r="D19" s="4"/>
      <c r="E19" s="9">
        <v>2</v>
      </c>
      <c r="F19" s="12" t="s">
        <v>288</v>
      </c>
      <c r="G19" s="11" t="s">
        <v>5</v>
      </c>
      <c r="H19" s="11" t="s">
        <v>9</v>
      </c>
      <c r="I19" s="11" t="s">
        <v>6</v>
      </c>
    </row>
    <row r="20" spans="1:10" ht="20.25" customHeight="1" x14ac:dyDescent="0.6">
      <c r="A20" t="s">
        <v>69</v>
      </c>
      <c r="B20" s="4"/>
      <c r="C20" s="4"/>
      <c r="D20" s="4"/>
      <c r="E20" s="9">
        <v>2</v>
      </c>
      <c r="F20" s="12" t="s">
        <v>288</v>
      </c>
      <c r="G20" s="11" t="s">
        <v>5</v>
      </c>
      <c r="H20" s="11" t="s">
        <v>9</v>
      </c>
      <c r="I20" s="11" t="s">
        <v>6</v>
      </c>
    </row>
    <row r="21" spans="1:10" ht="20.25" customHeight="1" x14ac:dyDescent="0.6">
      <c r="A21" t="s">
        <v>70</v>
      </c>
      <c r="B21" s="4"/>
      <c r="C21" s="4"/>
      <c r="D21" s="4"/>
      <c r="E21" s="9">
        <v>2</v>
      </c>
      <c r="F21" s="12" t="s">
        <v>288</v>
      </c>
      <c r="G21" s="11" t="s">
        <v>5</v>
      </c>
      <c r="H21" s="11" t="s">
        <v>9</v>
      </c>
      <c r="I21" s="11" t="s">
        <v>6</v>
      </c>
    </row>
    <row r="22" spans="1:10" ht="20.25" customHeight="1" x14ac:dyDescent="0.6">
      <c r="A22" t="s">
        <v>71</v>
      </c>
      <c r="D22" s="4"/>
      <c r="E22" s="9">
        <f>18*2</f>
        <v>36</v>
      </c>
      <c r="F22" s="12" t="s">
        <v>288</v>
      </c>
      <c r="G22" s="11" t="s">
        <v>5</v>
      </c>
      <c r="H22" s="11" t="s">
        <v>9</v>
      </c>
      <c r="I22" s="11" t="s">
        <v>6</v>
      </c>
    </row>
    <row r="23" spans="1:10" ht="20.25" customHeight="1" x14ac:dyDescent="0.6">
      <c r="A23" t="s">
        <v>72</v>
      </c>
      <c r="B23" s="4"/>
      <c r="C23" s="4"/>
      <c r="D23" s="4"/>
      <c r="E23" s="9">
        <v>2</v>
      </c>
      <c r="F23" s="12" t="s">
        <v>288</v>
      </c>
      <c r="G23" s="11" t="s">
        <v>5</v>
      </c>
      <c r="H23" s="11" t="s">
        <v>9</v>
      </c>
      <c r="I23" s="11" t="s">
        <v>6</v>
      </c>
    </row>
    <row r="24" spans="1:10" ht="20.25" customHeight="1" x14ac:dyDescent="0.6">
      <c r="A24" t="s">
        <v>73</v>
      </c>
      <c r="B24" s="4"/>
      <c r="C24" s="4"/>
      <c r="D24" s="4"/>
      <c r="E24" s="9">
        <v>2</v>
      </c>
      <c r="F24" s="12" t="s">
        <v>288</v>
      </c>
      <c r="G24" s="11" t="s">
        <v>5</v>
      </c>
      <c r="H24" s="11" t="s">
        <v>9</v>
      </c>
      <c r="I24" s="11" t="s">
        <v>6</v>
      </c>
    </row>
    <row r="25" spans="1:10" ht="20.25" customHeight="1" x14ac:dyDescent="0.6">
      <c r="A25" t="s">
        <v>74</v>
      </c>
      <c r="B25" s="4"/>
      <c r="C25" s="4"/>
      <c r="D25" s="4"/>
      <c r="E25" s="9">
        <v>2</v>
      </c>
      <c r="F25" s="12" t="s">
        <v>288</v>
      </c>
      <c r="G25" s="11" t="s">
        <v>5</v>
      </c>
      <c r="H25" s="11" t="s">
        <v>9</v>
      </c>
      <c r="I25" s="11" t="s">
        <v>6</v>
      </c>
    </row>
    <row r="26" spans="1:10" ht="20.25" customHeight="1" x14ac:dyDescent="0.6">
      <c r="A26" t="s">
        <v>75</v>
      </c>
      <c r="B26" s="4"/>
      <c r="C26" s="4"/>
      <c r="D26" s="4"/>
      <c r="E26" s="5">
        <v>2</v>
      </c>
      <c r="F26" s="12" t="s">
        <v>288</v>
      </c>
      <c r="G26" s="11" t="s">
        <v>5</v>
      </c>
      <c r="H26" s="11" t="s">
        <v>9</v>
      </c>
      <c r="I26" s="11" t="s">
        <v>6</v>
      </c>
    </row>
    <row r="27" spans="1:10" ht="20.25" customHeight="1" x14ac:dyDescent="0.6">
      <c r="A27" t="s">
        <v>76</v>
      </c>
      <c r="B27" s="4"/>
      <c r="C27" s="4"/>
      <c r="D27" s="4"/>
      <c r="E27" s="5">
        <v>2</v>
      </c>
      <c r="F27" s="12" t="s">
        <v>288</v>
      </c>
      <c r="G27" s="11" t="s">
        <v>5</v>
      </c>
      <c r="H27" s="11" t="s">
        <v>9</v>
      </c>
      <c r="I27" s="11" t="s">
        <v>6</v>
      </c>
    </row>
    <row r="28" spans="1:10" ht="20.25" customHeight="1" x14ac:dyDescent="0.6">
      <c r="B28" s="4"/>
      <c r="C28" s="4" t="s">
        <v>369</v>
      </c>
      <c r="D28" s="4"/>
      <c r="E28" s="9">
        <v>2</v>
      </c>
      <c r="F28" s="12" t="s">
        <v>288</v>
      </c>
      <c r="G28" s="11" t="s">
        <v>5</v>
      </c>
      <c r="H28" s="11" t="s">
        <v>9</v>
      </c>
      <c r="I28" s="11" t="s">
        <v>6</v>
      </c>
      <c r="J28">
        <f>E28*230</f>
        <v>460</v>
      </c>
    </row>
    <row r="29" spans="1:10" ht="20.25" customHeight="1" x14ac:dyDescent="0.6">
      <c r="B29" s="4"/>
      <c r="C29" s="4" t="s">
        <v>370</v>
      </c>
      <c r="D29" s="4"/>
      <c r="E29" s="9">
        <v>2</v>
      </c>
      <c r="F29" s="12" t="s">
        <v>288</v>
      </c>
      <c r="G29" s="11" t="s">
        <v>5</v>
      </c>
      <c r="H29" s="11" t="s">
        <v>9</v>
      </c>
      <c r="I29" s="11" t="s">
        <v>6</v>
      </c>
      <c r="J29">
        <f>E29*184</f>
        <v>368</v>
      </c>
    </row>
    <row r="30" spans="1:10" ht="20.25" customHeight="1" x14ac:dyDescent="0.6">
      <c r="C30" s="4" t="s">
        <v>371</v>
      </c>
      <c r="D30" s="4"/>
      <c r="E30" s="9">
        <v>2</v>
      </c>
      <c r="F30" s="12" t="s">
        <v>288</v>
      </c>
      <c r="G30" s="11" t="s">
        <v>5</v>
      </c>
      <c r="H30" s="11" t="s">
        <v>9</v>
      </c>
      <c r="I30" s="11" t="s">
        <v>6</v>
      </c>
      <c r="J30">
        <f>E30*197</f>
        <v>394</v>
      </c>
    </row>
    <row r="31" spans="1:10" ht="20.25" customHeight="1" x14ac:dyDescent="0.6">
      <c r="C31" t="s">
        <v>372</v>
      </c>
      <c r="E31" s="61">
        <v>2</v>
      </c>
      <c r="F31" s="12" t="s">
        <v>288</v>
      </c>
      <c r="G31" s="11" t="s">
        <v>5</v>
      </c>
      <c r="H31" s="11" t="s">
        <v>9</v>
      </c>
      <c r="I31" s="11" t="s">
        <v>6</v>
      </c>
      <c r="J31">
        <f>E31*190</f>
        <v>380</v>
      </c>
    </row>
    <row r="32" spans="1:10" ht="20.25" customHeight="1" x14ac:dyDescent="0.35"/>
    <row r="33" spans="1:9" ht="20.25" customHeight="1" thickBot="1" x14ac:dyDescent="0.65">
      <c r="A33" s="73" t="s">
        <v>3</v>
      </c>
      <c r="B33" s="74"/>
      <c r="C33" s="73"/>
      <c r="D33" s="74"/>
      <c r="E33" s="10" t="s">
        <v>10</v>
      </c>
      <c r="F33" s="75" t="s">
        <v>7</v>
      </c>
      <c r="G33" s="76"/>
      <c r="H33" s="76"/>
      <c r="I33" s="3"/>
    </row>
    <row r="34" spans="1:9" ht="20.25" customHeight="1" thickTop="1" x14ac:dyDescent="0.6">
      <c r="A34" t="s">
        <v>77</v>
      </c>
      <c r="B34" s="4"/>
      <c r="C34" s="4"/>
      <c r="D34" s="4"/>
      <c r="E34" s="9">
        <v>18</v>
      </c>
      <c r="F34" s="13" t="s">
        <v>11</v>
      </c>
      <c r="G34" s="77" t="s">
        <v>5</v>
      </c>
      <c r="H34" s="77"/>
      <c r="I34" s="14" t="s">
        <v>6</v>
      </c>
    </row>
    <row r="35" spans="1:9" ht="20.25" customHeight="1" x14ac:dyDescent="0.6">
      <c r="A35" t="s">
        <v>78</v>
      </c>
      <c r="B35" s="4"/>
      <c r="C35" s="4"/>
      <c r="D35" s="4"/>
      <c r="E35" s="9">
        <v>18</v>
      </c>
      <c r="F35" s="12" t="s">
        <v>11</v>
      </c>
      <c r="G35" s="72" t="s">
        <v>5</v>
      </c>
      <c r="H35" s="72"/>
      <c r="I35" s="11" t="s">
        <v>6</v>
      </c>
    </row>
    <row r="36" spans="1:9" ht="26" x14ac:dyDescent="0.6">
      <c r="A36" s="8"/>
      <c r="B36" s="8"/>
      <c r="C36" s="8"/>
      <c r="D36" s="17"/>
      <c r="E36" s="8"/>
      <c r="F36" s="12" t="s">
        <v>11</v>
      </c>
      <c r="G36" s="72" t="s">
        <v>5</v>
      </c>
      <c r="H36" s="72"/>
      <c r="I36" s="11" t="s">
        <v>6</v>
      </c>
    </row>
    <row r="38" spans="1:9" ht="26" x14ac:dyDescent="0.6">
      <c r="A38" t="s">
        <v>12</v>
      </c>
      <c r="B38" s="11" t="s">
        <v>13</v>
      </c>
      <c r="D38" s="11" t="s">
        <v>15</v>
      </c>
      <c r="F38" s="11" t="s">
        <v>14</v>
      </c>
      <c r="G38" s="11" t="s">
        <v>16</v>
      </c>
    </row>
  </sheetData>
  <mergeCells count="8">
    <mergeCell ref="G34:H34"/>
    <mergeCell ref="G35:H35"/>
    <mergeCell ref="G36:H36"/>
    <mergeCell ref="B1:E1"/>
    <mergeCell ref="A3:D3"/>
    <mergeCell ref="F5:H5"/>
    <mergeCell ref="A33:D33"/>
    <mergeCell ref="F33:H33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FF0000"/>
  </sheetPr>
  <dimension ref="A1:J36"/>
  <sheetViews>
    <sheetView showGridLines="0" view="pageLayout" topLeftCell="A4" zoomScaleNormal="100" workbookViewId="0">
      <selection activeCell="J15" sqref="J1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15.6328125" customWidth="1"/>
    <col min="7" max="7" width="8.1796875" customWidth="1"/>
    <col min="8" max="8" width="9.1796875" customWidth="1"/>
    <col min="9" max="9" width="9.453125" customWidth="1"/>
    <col min="10" max="10" width="6.81640625" customWidth="1"/>
  </cols>
  <sheetData>
    <row r="1" spans="1:10" ht="26" x14ac:dyDescent="0.6">
      <c r="A1" s="2" t="s">
        <v>0</v>
      </c>
      <c r="B1" s="78" t="s">
        <v>79</v>
      </c>
      <c r="C1" s="78"/>
      <c r="D1" s="78"/>
      <c r="E1" s="78"/>
      <c r="F1" s="1"/>
      <c r="G1" s="3" t="s">
        <v>4</v>
      </c>
      <c r="H1">
        <f>SUM(E6:E34)</f>
        <v>64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80</v>
      </c>
      <c r="G3" t="s">
        <v>227</v>
      </c>
      <c r="H3" t="s">
        <v>228</v>
      </c>
    </row>
    <row r="4" spans="1:10" x14ac:dyDescent="0.35">
      <c r="G4" t="s">
        <v>341</v>
      </c>
      <c r="H4">
        <f>SUM(J6:J44)</f>
        <v>1349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I5" s="52"/>
      <c r="J5" s="18" t="s">
        <v>289</v>
      </c>
    </row>
    <row r="6" spans="1:10" s="3" customFormat="1" ht="19.75" customHeight="1" thickTop="1" x14ac:dyDescent="0.6">
      <c r="A6" s="22" t="s">
        <v>373</v>
      </c>
      <c r="B6" s="22"/>
      <c r="C6" s="22" t="s">
        <v>81</v>
      </c>
      <c r="D6" s="36"/>
      <c r="E6" s="6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87">
        <f>600</f>
        <v>600</v>
      </c>
    </row>
    <row r="7" spans="1:10" ht="19.75" customHeight="1" x14ac:dyDescent="0.6">
      <c r="A7" s="35" t="s">
        <v>374</v>
      </c>
      <c r="B7" s="35"/>
      <c r="C7" s="35" t="s">
        <v>83</v>
      </c>
      <c r="D7" s="49"/>
      <c r="E7" s="5">
        <v>4</v>
      </c>
      <c r="F7" s="12" t="s">
        <v>288</v>
      </c>
      <c r="G7" s="11" t="s">
        <v>5</v>
      </c>
      <c r="H7" s="11" t="s">
        <v>9</v>
      </c>
      <c r="I7" s="11" t="s">
        <v>6</v>
      </c>
      <c r="J7" s="87"/>
    </row>
    <row r="8" spans="1:10" ht="19.75" customHeight="1" x14ac:dyDescent="0.6">
      <c r="A8" s="35" t="s">
        <v>377</v>
      </c>
      <c r="B8" s="35"/>
      <c r="C8" s="35" t="s">
        <v>376</v>
      </c>
      <c r="D8" s="49"/>
      <c r="E8" s="9">
        <v>2</v>
      </c>
      <c r="F8" s="12" t="s">
        <v>288</v>
      </c>
      <c r="G8" s="11" t="s">
        <v>5</v>
      </c>
      <c r="H8" s="11" t="s">
        <v>9</v>
      </c>
      <c r="I8" s="11" t="s">
        <v>6</v>
      </c>
      <c r="J8">
        <f>E8*42</f>
        <v>84</v>
      </c>
    </row>
    <row r="9" spans="1:10" ht="19.75" customHeight="1" x14ac:dyDescent="0.6">
      <c r="A9" s="35" t="s">
        <v>378</v>
      </c>
      <c r="B9" s="35"/>
      <c r="C9" s="35" t="s">
        <v>86</v>
      </c>
      <c r="D9" s="49"/>
      <c r="E9" s="5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11" t="s">
        <v>382</v>
      </c>
    </row>
    <row r="10" spans="1:10" ht="19.75" customHeight="1" x14ac:dyDescent="0.6">
      <c r="A10" s="35" t="s">
        <v>379</v>
      </c>
      <c r="B10" s="35"/>
      <c r="C10" s="35" t="s">
        <v>87</v>
      </c>
      <c r="D10" s="49"/>
      <c r="E10" s="5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11" t="s">
        <v>382</v>
      </c>
    </row>
    <row r="11" spans="1:10" ht="19.75" customHeight="1" x14ac:dyDescent="0.6">
      <c r="A11" s="35" t="s">
        <v>375</v>
      </c>
      <c r="B11" s="35"/>
      <c r="C11" s="35" t="s">
        <v>82</v>
      </c>
      <c r="D11" s="49"/>
      <c r="E11" s="9">
        <v>1</v>
      </c>
      <c r="F11" s="12" t="s">
        <v>288</v>
      </c>
      <c r="G11" s="11" t="s">
        <v>5</v>
      </c>
      <c r="H11" s="11" t="s">
        <v>9</v>
      </c>
      <c r="I11" s="11" t="s">
        <v>6</v>
      </c>
      <c r="J11" s="88">
        <v>665</v>
      </c>
    </row>
    <row r="12" spans="1:10" ht="19.75" customHeight="1" x14ac:dyDescent="0.6">
      <c r="A12" s="35" t="s">
        <v>381</v>
      </c>
      <c r="B12" s="35"/>
      <c r="C12" s="35" t="s">
        <v>84</v>
      </c>
      <c r="D12" s="49"/>
      <c r="E12" s="5">
        <v>4</v>
      </c>
      <c r="F12" s="12" t="s">
        <v>288</v>
      </c>
      <c r="G12" s="11" t="s">
        <v>5</v>
      </c>
      <c r="H12" s="11" t="s">
        <v>9</v>
      </c>
      <c r="I12" s="11" t="s">
        <v>6</v>
      </c>
      <c r="J12" s="88"/>
    </row>
    <row r="13" spans="1:10" ht="19.75" customHeight="1" x14ac:dyDescent="0.6">
      <c r="A13" s="35" t="s">
        <v>380</v>
      </c>
      <c r="B13" s="35"/>
      <c r="C13" s="35" t="s">
        <v>88</v>
      </c>
      <c r="D13" s="49"/>
      <c r="E13" s="5">
        <v>1</v>
      </c>
      <c r="F13" s="12" t="s">
        <v>288</v>
      </c>
      <c r="G13" s="11" t="s">
        <v>5</v>
      </c>
      <c r="H13" s="11" t="s">
        <v>9</v>
      </c>
      <c r="I13" s="11" t="s">
        <v>6</v>
      </c>
      <c r="J13" s="11" t="s">
        <v>382</v>
      </c>
    </row>
    <row r="14" spans="1:10" ht="19.75" customHeight="1" x14ac:dyDescent="0.6">
      <c r="A14" s="35"/>
      <c r="B14" s="35"/>
      <c r="C14" s="35" t="s">
        <v>89</v>
      </c>
      <c r="D14" s="49"/>
      <c r="E14" s="5">
        <v>1</v>
      </c>
      <c r="F14" s="12" t="s">
        <v>288</v>
      </c>
      <c r="G14" s="11" t="s">
        <v>5</v>
      </c>
      <c r="H14" s="11" t="s">
        <v>9</v>
      </c>
      <c r="I14" s="11" t="s">
        <v>6</v>
      </c>
      <c r="J14" s="11" t="s">
        <v>382</v>
      </c>
    </row>
    <row r="15" spans="1:10" ht="19.75" customHeight="1" x14ac:dyDescent="0.6">
      <c r="A15" s="35"/>
      <c r="B15" s="35"/>
      <c r="F15" s="12" t="s">
        <v>288</v>
      </c>
      <c r="G15" s="11" t="s">
        <v>5</v>
      </c>
      <c r="H15" s="11" t="s">
        <v>9</v>
      </c>
      <c r="I15" s="11" t="s">
        <v>6</v>
      </c>
    </row>
    <row r="16" spans="1:10" ht="19.75" customHeight="1" x14ac:dyDescent="0.6">
      <c r="A16" s="35"/>
      <c r="B16" s="35"/>
      <c r="C16" s="35" t="s">
        <v>85</v>
      </c>
      <c r="D16" s="49"/>
      <c r="E16" s="5">
        <v>2</v>
      </c>
      <c r="F16" s="12" t="s">
        <v>288</v>
      </c>
      <c r="G16" s="11" t="s">
        <v>5</v>
      </c>
      <c r="H16" s="11" t="s">
        <v>9</v>
      </c>
      <c r="I16" s="11" t="s">
        <v>6</v>
      </c>
      <c r="J16" s="11" t="s">
        <v>382</v>
      </c>
    </row>
    <row r="17" spans="1:10" ht="19.75" customHeight="1" x14ac:dyDescent="0.6">
      <c r="A17" s="35"/>
      <c r="B17" s="35"/>
      <c r="C17" s="35" t="s">
        <v>90</v>
      </c>
      <c r="D17" s="49"/>
      <c r="E17" s="5">
        <v>2</v>
      </c>
      <c r="F17" s="12" t="s">
        <v>288</v>
      </c>
      <c r="G17" s="11" t="s">
        <v>5</v>
      </c>
      <c r="H17" s="11" t="s">
        <v>9</v>
      </c>
      <c r="I17" s="11" t="s">
        <v>6</v>
      </c>
      <c r="J17" s="11" t="s">
        <v>382</v>
      </c>
    </row>
    <row r="18" spans="1:10" ht="19.75" customHeight="1" x14ac:dyDescent="0.6">
      <c r="A18" s="35"/>
      <c r="B18" s="35"/>
      <c r="C18" s="35" t="s">
        <v>91</v>
      </c>
      <c r="D18" s="49"/>
      <c r="E18" s="5">
        <v>4</v>
      </c>
      <c r="F18" s="12" t="s">
        <v>288</v>
      </c>
      <c r="G18" s="11" t="s">
        <v>5</v>
      </c>
      <c r="H18" s="11" t="s">
        <v>9</v>
      </c>
      <c r="I18" s="11" t="s">
        <v>6</v>
      </c>
      <c r="J18" s="11" t="s">
        <v>382</v>
      </c>
    </row>
    <row r="19" spans="1:10" ht="19.75" customHeight="1" x14ac:dyDescent="0.6">
      <c r="A19" s="35"/>
      <c r="B19" s="35"/>
      <c r="C19" s="35" t="s">
        <v>92</v>
      </c>
      <c r="D19" s="49"/>
      <c r="E19" s="5">
        <v>4</v>
      </c>
      <c r="F19" s="12" t="s">
        <v>288</v>
      </c>
      <c r="G19" s="11" t="s">
        <v>5</v>
      </c>
      <c r="H19" s="11" t="s">
        <v>9</v>
      </c>
      <c r="I19" s="11" t="s">
        <v>6</v>
      </c>
      <c r="J19" s="11" t="s">
        <v>382</v>
      </c>
    </row>
    <row r="20" spans="1:10" ht="19.75" customHeight="1" x14ac:dyDescent="0.6">
      <c r="A20" s="35"/>
      <c r="B20" s="35"/>
      <c r="C20" s="35" t="s">
        <v>93</v>
      </c>
      <c r="D20" s="49"/>
      <c r="E20" s="5">
        <v>2</v>
      </c>
      <c r="F20" s="12" t="s">
        <v>288</v>
      </c>
      <c r="G20" s="11" t="s">
        <v>5</v>
      </c>
      <c r="H20" s="11" t="s">
        <v>9</v>
      </c>
      <c r="I20" s="11" t="s">
        <v>6</v>
      </c>
      <c r="J20" s="11" t="s">
        <v>382</v>
      </c>
    </row>
    <row r="21" spans="1:10" ht="19.75" customHeight="1" x14ac:dyDescent="0.6">
      <c r="A21" s="35"/>
      <c r="B21" s="35"/>
      <c r="C21" s="35" t="s">
        <v>94</v>
      </c>
      <c r="D21" s="49"/>
      <c r="E21" s="5">
        <v>2</v>
      </c>
      <c r="F21" s="12" t="s">
        <v>288</v>
      </c>
      <c r="G21" s="11" t="s">
        <v>5</v>
      </c>
      <c r="H21" s="11" t="s">
        <v>9</v>
      </c>
      <c r="I21" s="11" t="s">
        <v>6</v>
      </c>
      <c r="J21" s="11" t="s">
        <v>382</v>
      </c>
    </row>
    <row r="22" spans="1:10" ht="19.75" customHeight="1" x14ac:dyDescent="0.6">
      <c r="A22" s="35"/>
      <c r="B22" s="35"/>
      <c r="C22" s="35"/>
      <c r="D22" s="49"/>
      <c r="E22" s="5"/>
      <c r="F22" s="12" t="s">
        <v>288</v>
      </c>
      <c r="G22" s="11" t="s">
        <v>5</v>
      </c>
      <c r="H22" s="11" t="s">
        <v>9</v>
      </c>
      <c r="I22" s="11" t="s">
        <v>6</v>
      </c>
    </row>
    <row r="23" spans="1:10" ht="19.75" customHeight="1" x14ac:dyDescent="0.6">
      <c r="A23" s="4"/>
      <c r="B23" s="4"/>
      <c r="C23" s="35"/>
      <c r="D23" s="49"/>
      <c r="E23" s="5"/>
      <c r="F23" s="12" t="s">
        <v>288</v>
      </c>
      <c r="G23" s="11" t="s">
        <v>5</v>
      </c>
      <c r="H23" s="11" t="s">
        <v>9</v>
      </c>
      <c r="I23" s="11" t="s">
        <v>6</v>
      </c>
    </row>
    <row r="24" spans="1:10" ht="19.75" customHeight="1" x14ac:dyDescent="0.6">
      <c r="A24" s="4"/>
      <c r="B24" s="4"/>
      <c r="C24" s="35"/>
      <c r="D24" s="49"/>
      <c r="E24" s="5"/>
      <c r="F24" s="12" t="s">
        <v>288</v>
      </c>
      <c r="G24" s="11" t="s">
        <v>5</v>
      </c>
      <c r="H24" s="11" t="s">
        <v>9</v>
      </c>
      <c r="I24" s="11" t="s">
        <v>6</v>
      </c>
    </row>
    <row r="25" spans="1:10" ht="19.75" customHeight="1" x14ac:dyDescent="0.6">
      <c r="A25" s="4"/>
      <c r="B25" s="4"/>
      <c r="C25" s="35"/>
      <c r="D25" s="49"/>
      <c r="E25" s="5"/>
      <c r="F25" s="12" t="s">
        <v>288</v>
      </c>
      <c r="G25" s="11" t="s">
        <v>5</v>
      </c>
      <c r="H25" s="11" t="s">
        <v>9</v>
      </c>
      <c r="I25" s="11" t="s">
        <v>6</v>
      </c>
    </row>
    <row r="26" spans="1:10" ht="19.75" customHeight="1" x14ac:dyDescent="0.6">
      <c r="A26" s="4"/>
      <c r="B26" s="4"/>
      <c r="C26" s="35"/>
      <c r="D26" s="49"/>
      <c r="E26" s="5"/>
      <c r="F26" s="12" t="s">
        <v>288</v>
      </c>
      <c r="G26" s="11" t="s">
        <v>5</v>
      </c>
      <c r="H26" s="11" t="s">
        <v>9</v>
      </c>
      <c r="I26" s="11" t="s">
        <v>6</v>
      </c>
    </row>
    <row r="27" spans="1:10" ht="19.75" customHeight="1" x14ac:dyDescent="0.35"/>
    <row r="28" spans="1:10" ht="19.75" customHeight="1" thickBot="1" x14ac:dyDescent="0.65">
      <c r="A28" s="73" t="s">
        <v>3</v>
      </c>
      <c r="B28" s="74"/>
      <c r="C28" s="73"/>
      <c r="D28" s="74"/>
      <c r="E28" s="10" t="s">
        <v>10</v>
      </c>
      <c r="F28" s="75" t="s">
        <v>7</v>
      </c>
      <c r="G28" s="76"/>
      <c r="H28" s="76"/>
      <c r="I28" s="3"/>
    </row>
    <row r="29" spans="1:10" ht="19.75" customHeight="1" thickTop="1" x14ac:dyDescent="0.6">
      <c r="A29" s="35" t="s">
        <v>34</v>
      </c>
      <c r="B29" s="22"/>
      <c r="C29" s="22"/>
      <c r="D29" s="36"/>
      <c r="E29" s="23">
        <v>4</v>
      </c>
      <c r="F29" s="13" t="s">
        <v>11</v>
      </c>
      <c r="G29" s="77" t="s">
        <v>5</v>
      </c>
      <c r="H29" s="77"/>
      <c r="I29" s="14" t="s">
        <v>6</v>
      </c>
    </row>
    <row r="30" spans="1:10" ht="19.75" customHeight="1" x14ac:dyDescent="0.6">
      <c r="A30" s="23" t="s">
        <v>35</v>
      </c>
      <c r="B30" s="23"/>
      <c r="C30" s="23"/>
      <c r="D30" s="37"/>
      <c r="E30" s="23">
        <v>8</v>
      </c>
      <c r="F30" s="12" t="s">
        <v>11</v>
      </c>
      <c r="G30" s="72" t="s">
        <v>5</v>
      </c>
      <c r="H30" s="72"/>
      <c r="I30" s="11" t="s">
        <v>6</v>
      </c>
    </row>
    <row r="31" spans="1:10" ht="19.75" customHeight="1" x14ac:dyDescent="0.6">
      <c r="A31" s="23" t="s">
        <v>95</v>
      </c>
      <c r="B31" s="23"/>
      <c r="C31" s="23"/>
      <c r="D31" s="37"/>
      <c r="E31" s="23">
        <v>4</v>
      </c>
      <c r="F31" s="12" t="s">
        <v>11</v>
      </c>
      <c r="G31" s="72" t="s">
        <v>5</v>
      </c>
      <c r="H31" s="72"/>
      <c r="I31" s="11" t="s">
        <v>6</v>
      </c>
    </row>
    <row r="32" spans="1:10" ht="19.75" customHeight="1" x14ac:dyDescent="0.6">
      <c r="A32" s="23" t="s">
        <v>96</v>
      </c>
      <c r="B32" s="23"/>
      <c r="C32" s="23"/>
      <c r="D32" s="37"/>
      <c r="E32" s="23">
        <v>8</v>
      </c>
      <c r="F32" s="12" t="s">
        <v>11</v>
      </c>
      <c r="G32" s="72" t="s">
        <v>5</v>
      </c>
      <c r="H32" s="72"/>
      <c r="I32" s="11" t="s">
        <v>6</v>
      </c>
    </row>
    <row r="33" spans="1:9" ht="19.75" customHeight="1" x14ac:dyDescent="0.6">
      <c r="A33" s="23" t="s">
        <v>37</v>
      </c>
      <c r="B33" s="23"/>
      <c r="C33" s="23"/>
      <c r="D33" s="37"/>
      <c r="E33" s="23">
        <v>8</v>
      </c>
      <c r="F33" s="12" t="s">
        <v>11</v>
      </c>
      <c r="G33" s="72" t="s">
        <v>5</v>
      </c>
      <c r="H33" s="72"/>
      <c r="I33" s="11" t="s">
        <v>6</v>
      </c>
    </row>
    <row r="34" spans="1:9" ht="19.75" customHeight="1" x14ac:dyDescent="0.6">
      <c r="A34" s="8"/>
      <c r="B34" s="8"/>
      <c r="C34" s="8"/>
      <c r="D34" s="17"/>
      <c r="E34" s="8"/>
      <c r="F34" s="12" t="s">
        <v>11</v>
      </c>
      <c r="G34" s="72" t="s">
        <v>5</v>
      </c>
      <c r="H34" s="72"/>
      <c r="I34" s="11" t="s">
        <v>6</v>
      </c>
    </row>
    <row r="36" spans="1:9" ht="26" x14ac:dyDescent="0.6">
      <c r="A36" t="s">
        <v>12</v>
      </c>
      <c r="B36" s="11" t="s">
        <v>13</v>
      </c>
      <c r="D36" s="11" t="s">
        <v>15</v>
      </c>
      <c r="F36" s="11" t="s">
        <v>14</v>
      </c>
      <c r="G36" s="11" t="s">
        <v>16</v>
      </c>
    </row>
  </sheetData>
  <mergeCells count="13">
    <mergeCell ref="J6:J7"/>
    <mergeCell ref="J11:J12"/>
    <mergeCell ref="G34:H34"/>
    <mergeCell ref="B1:E1"/>
    <mergeCell ref="A3:D3"/>
    <mergeCell ref="F5:H5"/>
    <mergeCell ref="A28:D28"/>
    <mergeCell ref="F28:H28"/>
    <mergeCell ref="G29:H29"/>
    <mergeCell ref="G30:H30"/>
    <mergeCell ref="G31:H31"/>
    <mergeCell ref="G32:H32"/>
    <mergeCell ref="G33:H3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FF0000"/>
  </sheetPr>
  <dimension ref="A1:J35"/>
  <sheetViews>
    <sheetView showGridLines="0" view="pageLayout" zoomScaleNormal="100" workbookViewId="0">
      <selection activeCell="A20" sqref="A20"/>
    </sheetView>
  </sheetViews>
  <sheetFormatPr baseColWidth="10" defaultColWidth="10.81640625" defaultRowHeight="14.5" x14ac:dyDescent="0.35"/>
  <cols>
    <col min="1" max="1" width="10.1796875" customWidth="1"/>
    <col min="2" max="2" width="8.453125" customWidth="1"/>
    <col min="3" max="3" width="9.1796875" customWidth="1"/>
    <col min="4" max="4" width="11.453125" customWidth="1"/>
    <col min="5" max="5" width="6.6328125" customWidth="1"/>
    <col min="6" max="6" width="15.90625" customWidth="1"/>
    <col min="7" max="7" width="8.1796875" customWidth="1"/>
    <col min="8" max="8" width="9.1796875" customWidth="1"/>
    <col min="9" max="9" width="9.453125" customWidth="1"/>
    <col min="10" max="10" width="8.81640625" customWidth="1"/>
  </cols>
  <sheetData>
    <row r="1" spans="1:10" ht="26" x14ac:dyDescent="0.6">
      <c r="A1" s="2" t="s">
        <v>0</v>
      </c>
      <c r="B1" s="78" t="s">
        <v>97</v>
      </c>
      <c r="C1" s="78"/>
      <c r="D1" s="78"/>
      <c r="E1" s="78"/>
      <c r="F1" s="1"/>
      <c r="G1" s="3" t="s">
        <v>4</v>
      </c>
      <c r="H1">
        <f>SUM(E6:E33)</f>
        <v>89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80</v>
      </c>
      <c r="G3" t="s">
        <v>227</v>
      </c>
      <c r="H3" t="s">
        <v>228</v>
      </c>
    </row>
    <row r="4" spans="1:10" x14ac:dyDescent="0.35">
      <c r="G4" t="s">
        <v>289</v>
      </c>
      <c r="H4">
        <f>SUM(J6:J55)</f>
        <v>5146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18" t="s">
        <v>289</v>
      </c>
    </row>
    <row r="6" spans="1:10" s="3" customFormat="1" ht="19.75" customHeight="1" thickTop="1" x14ac:dyDescent="0.6">
      <c r="A6" s="4" t="s">
        <v>383</v>
      </c>
      <c r="B6" s="22"/>
      <c r="C6" s="22" t="s">
        <v>98</v>
      </c>
      <c r="D6" s="22"/>
      <c r="E6" s="39">
        <v>2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f>583*E6</f>
        <v>1166</v>
      </c>
    </row>
    <row r="7" spans="1:10" ht="19.75" customHeight="1" x14ac:dyDescent="0.35">
      <c r="A7" s="4"/>
      <c r="B7" s="35"/>
      <c r="C7" s="35" t="s">
        <v>352</v>
      </c>
      <c r="D7" s="35"/>
      <c r="E7" s="40">
        <v>2</v>
      </c>
      <c r="F7" s="35" t="s">
        <v>288</v>
      </c>
      <c r="G7" s="35" t="s">
        <v>5</v>
      </c>
      <c r="H7" s="35" t="s">
        <v>9</v>
      </c>
      <c r="I7" s="35" t="s">
        <v>6</v>
      </c>
      <c r="J7">
        <f>655*E7</f>
        <v>1310</v>
      </c>
    </row>
    <row r="8" spans="1:10" ht="19.75" customHeight="1" x14ac:dyDescent="0.35">
      <c r="A8" s="4"/>
      <c r="B8" s="35"/>
      <c r="C8" s="35" t="s">
        <v>99</v>
      </c>
      <c r="D8" s="35"/>
      <c r="E8" s="41">
        <v>2</v>
      </c>
      <c r="F8" s="35" t="s">
        <v>288</v>
      </c>
      <c r="G8" s="35" t="s">
        <v>5</v>
      </c>
      <c r="H8" s="35" t="s">
        <v>9</v>
      </c>
      <c r="I8" s="35" t="s">
        <v>6</v>
      </c>
      <c r="J8">
        <f>605*E8</f>
        <v>1210</v>
      </c>
    </row>
    <row r="9" spans="1:10" ht="19.75" customHeight="1" x14ac:dyDescent="0.35">
      <c r="A9" s="4"/>
      <c r="B9" s="35"/>
      <c r="C9" s="35" t="s">
        <v>100</v>
      </c>
      <c r="D9" s="35"/>
      <c r="E9" s="41">
        <v>2</v>
      </c>
      <c r="F9" s="35" t="s">
        <v>288</v>
      </c>
      <c r="G9" s="35" t="s">
        <v>5</v>
      </c>
      <c r="H9" s="35" t="s">
        <v>9</v>
      </c>
      <c r="I9" s="35" t="s">
        <v>6</v>
      </c>
      <c r="J9">
        <f>450*E9</f>
        <v>900</v>
      </c>
    </row>
    <row r="10" spans="1:10" ht="19.75" customHeight="1" x14ac:dyDescent="0.35">
      <c r="A10" s="4"/>
      <c r="B10" s="35"/>
      <c r="C10" s="35" t="s">
        <v>101</v>
      </c>
      <c r="D10" s="35"/>
      <c r="E10" s="41">
        <v>1</v>
      </c>
      <c r="F10" s="35" t="s">
        <v>288</v>
      </c>
      <c r="G10" s="35" t="s">
        <v>5</v>
      </c>
      <c r="H10" s="35" t="s">
        <v>9</v>
      </c>
      <c r="I10" s="35" t="s">
        <v>6</v>
      </c>
    </row>
    <row r="11" spans="1:10" ht="19.75" customHeight="1" x14ac:dyDescent="0.35">
      <c r="A11" s="4"/>
      <c r="B11" s="35"/>
      <c r="C11" s="35" t="s">
        <v>102</v>
      </c>
      <c r="D11" s="35"/>
      <c r="E11" s="41">
        <v>2</v>
      </c>
      <c r="F11" s="35" t="s">
        <v>288</v>
      </c>
      <c r="G11" s="35" t="s">
        <v>5</v>
      </c>
      <c r="H11" s="35" t="s">
        <v>9</v>
      </c>
      <c r="I11" s="35" t="s">
        <v>6</v>
      </c>
      <c r="J11">
        <f>E11*133</f>
        <v>266</v>
      </c>
    </row>
    <row r="12" spans="1:10" ht="19.75" customHeight="1" x14ac:dyDescent="0.35">
      <c r="A12" s="4"/>
      <c r="B12" s="35"/>
      <c r="C12" s="35" t="s">
        <v>103</v>
      </c>
      <c r="D12" s="35"/>
      <c r="E12" s="41">
        <v>2</v>
      </c>
      <c r="F12" s="35" t="s">
        <v>288</v>
      </c>
      <c r="G12" s="35" t="s">
        <v>5</v>
      </c>
      <c r="H12" s="35" t="s">
        <v>9</v>
      </c>
      <c r="I12" s="35" t="s">
        <v>6</v>
      </c>
    </row>
    <row r="13" spans="1:10" ht="19.75" customHeight="1" x14ac:dyDescent="0.35">
      <c r="A13" s="4"/>
      <c r="B13" s="35"/>
      <c r="C13" s="35" t="s">
        <v>104</v>
      </c>
      <c r="D13" s="35"/>
      <c r="E13" s="41">
        <v>2</v>
      </c>
      <c r="F13" s="35" t="s">
        <v>288</v>
      </c>
      <c r="G13" s="35" t="s">
        <v>5</v>
      </c>
      <c r="H13" s="35" t="s">
        <v>9</v>
      </c>
      <c r="I13" s="35" t="s">
        <v>6</v>
      </c>
    </row>
    <row r="14" spans="1:10" ht="19.75" customHeight="1" x14ac:dyDescent="0.35">
      <c r="A14" s="4"/>
      <c r="B14" s="35"/>
      <c r="C14" s="35" t="s">
        <v>163</v>
      </c>
      <c r="D14" s="35"/>
      <c r="E14" s="41">
        <v>1</v>
      </c>
      <c r="F14" s="35" t="s">
        <v>288</v>
      </c>
      <c r="G14" s="35" t="s">
        <v>5</v>
      </c>
      <c r="H14" s="35" t="s">
        <v>9</v>
      </c>
      <c r="I14" s="35" t="s">
        <v>6</v>
      </c>
    </row>
    <row r="15" spans="1:10" ht="19.75" customHeight="1" x14ac:dyDescent="0.35">
      <c r="A15" s="4"/>
      <c r="B15" s="35"/>
      <c r="C15" s="35" t="s">
        <v>164</v>
      </c>
      <c r="D15" s="35"/>
      <c r="E15" s="41">
        <v>1</v>
      </c>
      <c r="F15" s="35" t="s">
        <v>288</v>
      </c>
      <c r="G15" s="35" t="s">
        <v>5</v>
      </c>
      <c r="H15" s="35" t="s">
        <v>9</v>
      </c>
      <c r="I15" s="35" t="s">
        <v>6</v>
      </c>
    </row>
    <row r="16" spans="1:10" ht="19.75" customHeight="1" x14ac:dyDescent="0.35">
      <c r="A16" s="4"/>
      <c r="B16" s="4"/>
      <c r="C16" s="4" t="s">
        <v>348</v>
      </c>
      <c r="D16" s="4"/>
      <c r="E16" s="5">
        <v>2</v>
      </c>
      <c r="F16" s="35" t="s">
        <v>288</v>
      </c>
      <c r="G16" s="35" t="s">
        <v>5</v>
      </c>
      <c r="H16" s="35" t="s">
        <v>9</v>
      </c>
      <c r="I16" s="35" t="s">
        <v>6</v>
      </c>
    </row>
    <row r="17" spans="1:10" ht="19.75" customHeight="1" x14ac:dyDescent="0.35">
      <c r="A17" s="4"/>
      <c r="B17" s="4"/>
      <c r="C17" s="4" t="s">
        <v>349</v>
      </c>
      <c r="D17" s="4"/>
      <c r="E17" s="5">
        <v>2</v>
      </c>
      <c r="F17" s="35" t="s">
        <v>288</v>
      </c>
      <c r="G17" s="35" t="s">
        <v>5</v>
      </c>
      <c r="H17" s="35" t="s">
        <v>9</v>
      </c>
      <c r="I17" s="35" t="s">
        <v>6</v>
      </c>
    </row>
    <row r="18" spans="1:10" ht="19.75" customHeight="1" x14ac:dyDescent="0.35">
      <c r="A18" s="4"/>
      <c r="B18" s="4"/>
      <c r="C18" s="4" t="s">
        <v>350</v>
      </c>
      <c r="D18" s="4"/>
      <c r="E18" s="5">
        <v>2</v>
      </c>
      <c r="F18" s="35" t="s">
        <v>288</v>
      </c>
      <c r="G18" s="35" t="s">
        <v>5</v>
      </c>
      <c r="H18" s="35" t="s">
        <v>9</v>
      </c>
      <c r="I18" s="35" t="s">
        <v>6</v>
      </c>
      <c r="J18">
        <f>105*E18</f>
        <v>210</v>
      </c>
    </row>
    <row r="19" spans="1:10" ht="19.75" customHeight="1" x14ac:dyDescent="0.35">
      <c r="A19" s="4"/>
      <c r="B19" s="4"/>
      <c r="C19" s="4" t="s">
        <v>351</v>
      </c>
      <c r="D19" s="4"/>
      <c r="E19" s="5">
        <v>2</v>
      </c>
      <c r="F19" s="35" t="s">
        <v>288</v>
      </c>
      <c r="G19" s="35" t="s">
        <v>5</v>
      </c>
      <c r="H19" s="35" t="s">
        <v>9</v>
      </c>
      <c r="I19" s="35" t="s">
        <v>6</v>
      </c>
    </row>
    <row r="20" spans="1:10" ht="19.75" customHeight="1" x14ac:dyDescent="0.35">
      <c r="A20" s="4"/>
      <c r="B20" s="4"/>
      <c r="C20" s="4"/>
      <c r="D20" s="4"/>
      <c r="E20" s="5"/>
      <c r="F20" s="35" t="s">
        <v>288</v>
      </c>
      <c r="G20" s="35" t="s">
        <v>5</v>
      </c>
      <c r="H20" s="35" t="s">
        <v>9</v>
      </c>
      <c r="I20" s="35" t="s">
        <v>6</v>
      </c>
    </row>
    <row r="21" spans="1:10" ht="19.75" customHeight="1" x14ac:dyDescent="0.35">
      <c r="A21" s="4"/>
      <c r="B21" s="4"/>
      <c r="C21" s="4"/>
      <c r="D21" s="4"/>
      <c r="E21" s="5"/>
      <c r="F21" s="35" t="s">
        <v>288</v>
      </c>
      <c r="G21" s="35" t="s">
        <v>5</v>
      </c>
      <c r="H21" s="35" t="s">
        <v>9</v>
      </c>
      <c r="I21" s="35" t="s">
        <v>6</v>
      </c>
    </row>
    <row r="22" spans="1:10" ht="19.75" customHeight="1" x14ac:dyDescent="0.35">
      <c r="A22" s="4"/>
      <c r="B22" s="4"/>
      <c r="C22" s="4"/>
      <c r="D22" s="4"/>
      <c r="E22" s="5"/>
      <c r="F22" s="35" t="s">
        <v>288</v>
      </c>
      <c r="G22" s="35" t="s">
        <v>5</v>
      </c>
      <c r="H22" s="35" t="s">
        <v>9</v>
      </c>
      <c r="I22" s="35" t="s">
        <v>6</v>
      </c>
    </row>
    <row r="23" spans="1:10" ht="19.75" customHeight="1" x14ac:dyDescent="0.35">
      <c r="A23" s="4"/>
      <c r="B23" s="4"/>
      <c r="C23" s="4"/>
      <c r="D23" s="4"/>
      <c r="E23" s="5"/>
      <c r="F23" s="35" t="s">
        <v>288</v>
      </c>
      <c r="G23" s="35" t="s">
        <v>5</v>
      </c>
      <c r="H23" s="35" t="s">
        <v>9</v>
      </c>
      <c r="I23" s="35" t="s">
        <v>6</v>
      </c>
    </row>
    <row r="24" spans="1:10" ht="19.75" customHeight="1" x14ac:dyDescent="0.35">
      <c r="A24" s="4"/>
      <c r="B24" s="4"/>
      <c r="C24" s="4"/>
      <c r="D24" s="4"/>
      <c r="E24" s="5"/>
      <c r="F24" s="35" t="s">
        <v>288</v>
      </c>
      <c r="G24" s="35" t="s">
        <v>5</v>
      </c>
      <c r="H24" s="35" t="s">
        <v>9</v>
      </c>
      <c r="I24" s="35" t="s">
        <v>6</v>
      </c>
    </row>
    <row r="25" spans="1:10" ht="19.75" customHeight="1" x14ac:dyDescent="0.35">
      <c r="A25" s="4"/>
      <c r="B25" s="4"/>
      <c r="C25" s="4"/>
      <c r="D25" s="4"/>
      <c r="E25" s="5"/>
      <c r="F25" s="35" t="s">
        <v>288</v>
      </c>
      <c r="G25" s="35" t="s">
        <v>5</v>
      </c>
      <c r="H25" s="35" t="s">
        <v>9</v>
      </c>
      <c r="I25" s="35" t="s">
        <v>6</v>
      </c>
    </row>
    <row r="26" spans="1:10" ht="19.75" customHeight="1" x14ac:dyDescent="0.35"/>
    <row r="27" spans="1:10" ht="19.75" customHeight="1" thickBot="1" x14ac:dyDescent="0.65">
      <c r="A27" s="73" t="s">
        <v>3</v>
      </c>
      <c r="B27" s="74"/>
      <c r="C27" s="73"/>
      <c r="D27" s="74"/>
      <c r="E27" s="10" t="s">
        <v>10</v>
      </c>
      <c r="F27" s="75" t="s">
        <v>7</v>
      </c>
      <c r="G27" s="76"/>
      <c r="H27" s="76"/>
      <c r="I27" s="3"/>
    </row>
    <row r="28" spans="1:10" ht="19.75" customHeight="1" thickTop="1" x14ac:dyDescent="0.6">
      <c r="A28" s="4" t="s">
        <v>20</v>
      </c>
      <c r="B28" s="4"/>
      <c r="C28" s="4"/>
      <c r="D28" s="4"/>
      <c r="E28" s="5">
        <v>8</v>
      </c>
      <c r="F28" s="13" t="s">
        <v>11</v>
      </c>
      <c r="G28" s="77" t="s">
        <v>5</v>
      </c>
      <c r="H28" s="77"/>
      <c r="I28" s="14" t="s">
        <v>6</v>
      </c>
    </row>
    <row r="29" spans="1:10" ht="19.75" customHeight="1" x14ac:dyDescent="0.6">
      <c r="A29" s="4" t="s">
        <v>21</v>
      </c>
      <c r="B29" s="4"/>
      <c r="C29" s="4"/>
      <c r="D29" s="4"/>
      <c r="E29" s="5">
        <v>8</v>
      </c>
      <c r="F29" s="12" t="s">
        <v>11</v>
      </c>
      <c r="G29" s="72" t="s">
        <v>5</v>
      </c>
      <c r="H29" s="72"/>
      <c r="I29" s="11" t="s">
        <v>6</v>
      </c>
    </row>
    <row r="30" spans="1:10" ht="19.75" customHeight="1" x14ac:dyDescent="0.6">
      <c r="A30" s="4" t="s">
        <v>384</v>
      </c>
      <c r="B30" s="4"/>
      <c r="C30" s="4"/>
      <c r="D30" s="4"/>
      <c r="E30" s="5">
        <v>12</v>
      </c>
      <c r="F30" s="12" t="s">
        <v>11</v>
      </c>
      <c r="G30" s="72" t="s">
        <v>5</v>
      </c>
      <c r="H30" s="72"/>
      <c r="I30" s="11" t="s">
        <v>6</v>
      </c>
      <c r="J30">
        <f>E30*4</f>
        <v>48</v>
      </c>
    </row>
    <row r="31" spans="1:10" ht="19.75" customHeight="1" x14ac:dyDescent="0.6">
      <c r="A31" s="4" t="s">
        <v>385</v>
      </c>
      <c r="B31" s="4"/>
      <c r="C31" s="4"/>
      <c r="D31" s="4"/>
      <c r="E31" s="5">
        <v>24</v>
      </c>
      <c r="F31" s="12" t="s">
        <v>11</v>
      </c>
      <c r="G31" s="72" t="s">
        <v>5</v>
      </c>
      <c r="H31" s="72"/>
      <c r="I31" s="11" t="s">
        <v>6</v>
      </c>
      <c r="J31">
        <f>E31*1</f>
        <v>24</v>
      </c>
    </row>
    <row r="32" spans="1:10" ht="19.75" customHeight="1" x14ac:dyDescent="0.6">
      <c r="A32" s="4" t="s">
        <v>386</v>
      </c>
      <c r="B32" s="4"/>
      <c r="C32" s="4"/>
      <c r="D32" s="4"/>
      <c r="E32" s="5">
        <v>12</v>
      </c>
      <c r="F32" s="12" t="s">
        <v>11</v>
      </c>
      <c r="G32" s="72" t="s">
        <v>5</v>
      </c>
      <c r="H32" s="72"/>
      <c r="I32" s="11" t="s">
        <v>6</v>
      </c>
      <c r="J32">
        <f>E32*1</f>
        <v>12</v>
      </c>
    </row>
    <row r="33" spans="1:9" ht="19.75" customHeight="1" x14ac:dyDescent="0.6">
      <c r="A33" s="8"/>
      <c r="B33" s="8"/>
      <c r="C33" s="8"/>
      <c r="D33" s="4"/>
      <c r="E33" s="5"/>
      <c r="F33" s="12" t="s">
        <v>11</v>
      </c>
      <c r="G33" s="72" t="s">
        <v>5</v>
      </c>
      <c r="H33" s="72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1">
    <mergeCell ref="G33:H33"/>
    <mergeCell ref="B1:E1"/>
    <mergeCell ref="A3:D3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0FC52-2A1B-4AA1-9FEE-9A1E5DBCEE1D}">
  <sheetPr codeName="Feuil17">
    <tabColor rgb="FF0070C0"/>
  </sheetPr>
  <dimension ref="A1:J46"/>
  <sheetViews>
    <sheetView showGridLines="0" view="pageLayout" zoomScale="90" zoomScaleNormal="100" zoomScalePageLayoutView="90" workbookViewId="0">
      <selection activeCell="J7" sqref="J7"/>
    </sheetView>
  </sheetViews>
  <sheetFormatPr baseColWidth="10" defaultColWidth="11.453125" defaultRowHeight="14.5" x14ac:dyDescent="0.35"/>
  <cols>
    <col min="1" max="1" width="10.1796875" customWidth="1"/>
    <col min="2" max="2" width="7.54296875" customWidth="1"/>
    <col min="3" max="3" width="9" customWidth="1"/>
    <col min="4" max="4" width="10.1796875" customWidth="1"/>
    <col min="5" max="5" width="5.542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10.7265625" customWidth="1"/>
  </cols>
  <sheetData>
    <row r="1" spans="1:10" ht="26" x14ac:dyDescent="0.6">
      <c r="A1" s="2" t="s">
        <v>0</v>
      </c>
      <c r="B1" s="78" t="s">
        <v>388</v>
      </c>
      <c r="C1" s="78"/>
      <c r="D1" s="78"/>
      <c r="E1" s="78"/>
      <c r="F1" s="1"/>
      <c r="G1" s="3" t="s">
        <v>4</v>
      </c>
      <c r="H1">
        <f>SUM(E6:E44)</f>
        <v>112</v>
      </c>
    </row>
    <row r="2" spans="1:10" ht="26" x14ac:dyDescent="0.6">
      <c r="G2" s="3" t="s">
        <v>8</v>
      </c>
      <c r="H2">
        <v>0</v>
      </c>
    </row>
    <row r="3" spans="1:10" ht="22.5" customHeight="1" x14ac:dyDescent="0.5">
      <c r="A3" s="79" t="s">
        <v>1</v>
      </c>
      <c r="B3" s="79"/>
      <c r="C3" s="79"/>
      <c r="D3" s="79"/>
      <c r="E3" s="18" t="s">
        <v>389</v>
      </c>
      <c r="G3" t="s">
        <v>227</v>
      </c>
      <c r="H3" t="s">
        <v>228</v>
      </c>
    </row>
    <row r="4" spans="1:10" x14ac:dyDescent="0.35">
      <c r="G4" t="s">
        <v>341</v>
      </c>
      <c r="H4">
        <f>SUM(J6:J25)</f>
        <v>56900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18" t="s">
        <v>289</v>
      </c>
    </row>
    <row r="6" spans="1:10" s="3" customFormat="1" ht="20.25" customHeight="1" thickTop="1" x14ac:dyDescent="0.6">
      <c r="A6" s="56" t="s">
        <v>301</v>
      </c>
      <c r="B6" s="56"/>
      <c r="C6" s="58" t="s">
        <v>390</v>
      </c>
      <c r="E6" s="48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f>56900-J8-J9</f>
        <v>56376</v>
      </c>
    </row>
    <row r="7" spans="1:10" s="3" customFormat="1" ht="20.25" customHeight="1" x14ac:dyDescent="0.6">
      <c r="A7" s="35"/>
      <c r="B7" s="35"/>
      <c r="C7" s="35"/>
      <c r="D7" s="49"/>
      <c r="E7" s="60">
        <v>1</v>
      </c>
      <c r="F7" s="35" t="s">
        <v>288</v>
      </c>
      <c r="G7" s="35" t="s">
        <v>5</v>
      </c>
      <c r="H7" s="35" t="s">
        <v>9</v>
      </c>
      <c r="I7" s="35" t="s">
        <v>6</v>
      </c>
      <c r="J7" s="35"/>
    </row>
    <row r="8" spans="1:10" s="3" customFormat="1" ht="20.25" customHeight="1" x14ac:dyDescent="0.6">
      <c r="A8" s="35"/>
      <c r="B8" s="35"/>
      <c r="C8" s="3" t="s">
        <v>397</v>
      </c>
      <c r="D8" s="49"/>
      <c r="E8" s="60">
        <v>1</v>
      </c>
      <c r="F8" s="35" t="s">
        <v>288</v>
      </c>
      <c r="G8" s="35" t="s">
        <v>5</v>
      </c>
      <c r="H8" s="35" t="s">
        <v>9</v>
      </c>
      <c r="I8" s="35" t="s">
        <v>6</v>
      </c>
      <c r="J8" s="35">
        <v>245</v>
      </c>
    </row>
    <row r="9" spans="1:10" ht="20.25" customHeight="1" x14ac:dyDescent="0.35">
      <c r="A9" s="35"/>
      <c r="B9" s="35"/>
      <c r="C9" t="s">
        <v>398</v>
      </c>
      <c r="D9" s="49"/>
      <c r="E9" s="47">
        <v>1</v>
      </c>
      <c r="F9" s="35" t="s">
        <v>288</v>
      </c>
      <c r="G9" s="35" t="s">
        <v>5</v>
      </c>
      <c r="H9" s="35" t="s">
        <v>9</v>
      </c>
      <c r="I9" s="35" t="s">
        <v>6</v>
      </c>
      <c r="J9" s="35">
        <v>279</v>
      </c>
    </row>
    <row r="10" spans="1:10" ht="20.25" customHeight="1" x14ac:dyDescent="0.35">
      <c r="A10" s="35"/>
      <c r="B10" s="35"/>
      <c r="C10" s="35" t="s">
        <v>395</v>
      </c>
      <c r="D10" s="49"/>
      <c r="E10" s="47">
        <v>1</v>
      </c>
      <c r="F10" s="35" t="s">
        <v>288</v>
      </c>
      <c r="G10" s="35" t="s">
        <v>5</v>
      </c>
      <c r="H10" s="35" t="s">
        <v>9</v>
      </c>
      <c r="I10" s="35" t="s">
        <v>6</v>
      </c>
      <c r="J10" s="35"/>
    </row>
    <row r="11" spans="1:10" ht="20.25" customHeight="1" x14ac:dyDescent="0.35">
      <c r="A11" s="35"/>
      <c r="B11" s="35"/>
      <c r="C11" s="35" t="s">
        <v>396</v>
      </c>
      <c r="D11" s="49"/>
      <c r="E11" s="47">
        <v>1</v>
      </c>
      <c r="F11" s="35" t="s">
        <v>288</v>
      </c>
      <c r="G11" s="35" t="s">
        <v>5</v>
      </c>
      <c r="H11" s="35" t="s">
        <v>9</v>
      </c>
      <c r="I11" s="35" t="s">
        <v>6</v>
      </c>
      <c r="J11" s="35"/>
    </row>
    <row r="12" spans="1:10" ht="20.25" customHeight="1" x14ac:dyDescent="0.35">
      <c r="A12" s="35"/>
      <c r="B12" s="35"/>
      <c r="C12" s="35"/>
      <c r="D12" s="49"/>
      <c r="E12" s="47">
        <v>1</v>
      </c>
      <c r="F12" s="35" t="s">
        <v>288</v>
      </c>
      <c r="G12" s="35" t="s">
        <v>5</v>
      </c>
      <c r="H12" s="35" t="s">
        <v>9</v>
      </c>
      <c r="I12" s="35" t="s">
        <v>6</v>
      </c>
      <c r="J12" s="35"/>
    </row>
    <row r="13" spans="1:10" ht="20.25" customHeight="1" x14ac:dyDescent="0.35">
      <c r="A13" s="35"/>
      <c r="B13" s="35"/>
      <c r="C13" s="35"/>
      <c r="D13" s="49"/>
      <c r="E13" s="47">
        <v>1</v>
      </c>
      <c r="F13" s="35" t="s">
        <v>288</v>
      </c>
      <c r="G13" s="35" t="s">
        <v>5</v>
      </c>
      <c r="H13" s="35" t="s">
        <v>9</v>
      </c>
      <c r="I13" s="35" t="s">
        <v>6</v>
      </c>
      <c r="J13" s="35"/>
    </row>
    <row r="14" spans="1:10" ht="20.25" customHeight="1" x14ac:dyDescent="0.35">
      <c r="A14" s="35"/>
      <c r="B14" s="35"/>
      <c r="C14" s="35"/>
      <c r="D14" s="49"/>
      <c r="E14" s="47"/>
      <c r="F14" s="35"/>
      <c r="G14" s="35"/>
      <c r="H14" s="35"/>
      <c r="I14" s="35"/>
      <c r="J14" s="35"/>
    </row>
    <row r="15" spans="1:10" ht="20.25" customHeight="1" x14ac:dyDescent="0.35">
      <c r="A15" s="35"/>
      <c r="B15" s="35"/>
      <c r="C15" s="35"/>
      <c r="D15" s="49"/>
      <c r="E15" s="47">
        <v>1</v>
      </c>
      <c r="F15" s="35" t="s">
        <v>288</v>
      </c>
      <c r="G15" s="35" t="s">
        <v>5</v>
      </c>
      <c r="H15" s="35" t="s">
        <v>9</v>
      </c>
      <c r="I15" s="35" t="s">
        <v>6</v>
      </c>
      <c r="J15" s="35"/>
    </row>
    <row r="16" spans="1:10" ht="20.25" customHeight="1" x14ac:dyDescent="0.35">
      <c r="A16" s="35"/>
      <c r="B16" s="35"/>
      <c r="C16" s="35"/>
      <c r="D16" s="49"/>
      <c r="E16" s="5">
        <v>1</v>
      </c>
      <c r="F16" s="35" t="s">
        <v>288</v>
      </c>
      <c r="G16" s="35" t="s">
        <v>5</v>
      </c>
      <c r="H16" s="35" t="s">
        <v>9</v>
      </c>
      <c r="I16" s="35" t="s">
        <v>6</v>
      </c>
      <c r="J16" s="35"/>
    </row>
    <row r="17" spans="1:10" ht="20.25" customHeight="1" x14ac:dyDescent="0.35">
      <c r="A17" s="35"/>
      <c r="B17" s="35"/>
      <c r="C17" s="35"/>
      <c r="D17" s="49"/>
      <c r="E17" s="47">
        <v>1</v>
      </c>
      <c r="F17" s="35" t="s">
        <v>288</v>
      </c>
      <c r="G17" s="35" t="s">
        <v>5</v>
      </c>
      <c r="H17" s="35" t="s">
        <v>9</v>
      </c>
      <c r="I17" s="35" t="s">
        <v>6</v>
      </c>
      <c r="J17" s="35"/>
    </row>
    <row r="18" spans="1:10" ht="20.25" customHeight="1" x14ac:dyDescent="0.35">
      <c r="A18" s="35"/>
      <c r="B18" s="35"/>
      <c r="C18" s="35"/>
      <c r="D18" s="49"/>
      <c r="E18" s="5">
        <v>1</v>
      </c>
      <c r="F18" s="35" t="s">
        <v>288</v>
      </c>
      <c r="G18" s="35" t="s">
        <v>5</v>
      </c>
      <c r="H18" s="35" t="s">
        <v>9</v>
      </c>
      <c r="I18" s="35" t="s">
        <v>6</v>
      </c>
      <c r="J18" s="35"/>
    </row>
    <row r="19" spans="1:10" ht="20.25" customHeight="1" x14ac:dyDescent="0.35">
      <c r="A19" s="35"/>
      <c r="B19" s="35"/>
      <c r="C19" s="35"/>
      <c r="D19" s="49"/>
      <c r="E19" s="5">
        <v>1</v>
      </c>
      <c r="F19" s="35" t="s">
        <v>288</v>
      </c>
      <c r="G19" s="35" t="s">
        <v>5</v>
      </c>
      <c r="H19" s="35" t="s">
        <v>9</v>
      </c>
      <c r="I19" s="35" t="s">
        <v>6</v>
      </c>
      <c r="J19" s="35"/>
    </row>
    <row r="20" spans="1:10" ht="20.25" customHeight="1" x14ac:dyDescent="0.35">
      <c r="A20" s="35"/>
      <c r="B20" s="35"/>
      <c r="C20" s="35"/>
      <c r="D20" s="49"/>
      <c r="E20" s="5">
        <v>4</v>
      </c>
      <c r="F20" s="35" t="s">
        <v>288</v>
      </c>
      <c r="G20" s="35" t="s">
        <v>5</v>
      </c>
      <c r="H20" s="35" t="s">
        <v>9</v>
      </c>
      <c r="I20" s="35" t="s">
        <v>6</v>
      </c>
      <c r="J20" s="35"/>
    </row>
    <row r="21" spans="1:10" ht="20.25" customHeight="1" x14ac:dyDescent="0.35">
      <c r="A21" s="35"/>
      <c r="B21" s="35"/>
      <c r="C21" s="35"/>
      <c r="D21" s="49"/>
      <c r="E21" s="5">
        <v>4</v>
      </c>
      <c r="F21" s="35" t="s">
        <v>288</v>
      </c>
      <c r="G21" s="35" t="s">
        <v>5</v>
      </c>
      <c r="H21" s="35" t="s">
        <v>9</v>
      </c>
      <c r="I21" s="35" t="s">
        <v>6</v>
      </c>
      <c r="J21" s="35"/>
    </row>
    <row r="22" spans="1:10" ht="20.25" customHeight="1" x14ac:dyDescent="0.35">
      <c r="A22" s="35"/>
      <c r="B22" s="35"/>
      <c r="C22" s="35"/>
      <c r="D22" s="49"/>
      <c r="E22" s="5">
        <v>2</v>
      </c>
      <c r="F22" s="35" t="s">
        <v>288</v>
      </c>
      <c r="G22" s="35" t="s">
        <v>5</v>
      </c>
      <c r="H22" s="35" t="s">
        <v>9</v>
      </c>
      <c r="I22" s="35" t="s">
        <v>6</v>
      </c>
      <c r="J22" s="35"/>
    </row>
    <row r="23" spans="1:10" ht="20.25" customHeight="1" x14ac:dyDescent="0.35">
      <c r="A23" s="35"/>
      <c r="B23" s="35"/>
      <c r="C23" s="35"/>
      <c r="D23" s="49"/>
      <c r="E23" s="5">
        <v>2</v>
      </c>
      <c r="F23" s="35" t="s">
        <v>288</v>
      </c>
      <c r="G23" s="35" t="s">
        <v>5</v>
      </c>
      <c r="H23" s="35" t="s">
        <v>9</v>
      </c>
      <c r="I23" s="35" t="s">
        <v>6</v>
      </c>
      <c r="J23" s="35"/>
    </row>
    <row r="24" spans="1:10" ht="20.25" customHeight="1" x14ac:dyDescent="0.35">
      <c r="A24" s="35"/>
      <c r="B24" s="35"/>
      <c r="C24" s="35"/>
      <c r="D24" s="49"/>
      <c r="E24" s="5">
        <v>1</v>
      </c>
      <c r="F24" s="35" t="s">
        <v>288</v>
      </c>
      <c r="G24" s="35" t="s">
        <v>5</v>
      </c>
      <c r="H24" s="35" t="s">
        <v>9</v>
      </c>
      <c r="I24" s="35" t="s">
        <v>6</v>
      </c>
      <c r="J24" s="94"/>
    </row>
    <row r="25" spans="1:10" ht="20.25" customHeight="1" x14ac:dyDescent="0.35">
      <c r="A25" s="35"/>
      <c r="B25" s="35"/>
      <c r="C25" s="35"/>
      <c r="D25" s="49"/>
      <c r="E25" s="47">
        <v>2</v>
      </c>
      <c r="F25" s="35" t="s">
        <v>288</v>
      </c>
      <c r="G25" s="35" t="s">
        <v>5</v>
      </c>
      <c r="H25" s="35" t="s">
        <v>9</v>
      </c>
      <c r="I25" s="35" t="s">
        <v>6</v>
      </c>
      <c r="J25" s="95"/>
    </row>
    <row r="26" spans="1:10" ht="20.25" customHeight="1" x14ac:dyDescent="0.35">
      <c r="A26" s="35"/>
      <c r="B26" s="35"/>
      <c r="C26" s="35"/>
      <c r="D26" s="49"/>
      <c r="E26" s="5">
        <v>2</v>
      </c>
      <c r="F26" s="35" t="s">
        <v>288</v>
      </c>
      <c r="G26" s="35" t="s">
        <v>5</v>
      </c>
      <c r="H26" s="35" t="s">
        <v>9</v>
      </c>
      <c r="I26" s="35" t="s">
        <v>6</v>
      </c>
      <c r="J26" s="35"/>
    </row>
    <row r="27" spans="1:10" ht="20.25" customHeight="1" x14ac:dyDescent="0.35">
      <c r="A27" s="35"/>
      <c r="B27" s="35"/>
      <c r="C27" s="35"/>
      <c r="D27" s="49"/>
      <c r="E27" s="5">
        <v>2</v>
      </c>
      <c r="F27" s="35" t="s">
        <v>288</v>
      </c>
      <c r="G27" s="35" t="s">
        <v>5</v>
      </c>
      <c r="H27" s="35" t="s">
        <v>9</v>
      </c>
      <c r="I27" s="35" t="s">
        <v>6</v>
      </c>
      <c r="J27" s="35"/>
    </row>
    <row r="28" spans="1:10" ht="20.25" customHeight="1" x14ac:dyDescent="0.35">
      <c r="A28" s="35"/>
      <c r="B28" s="35"/>
      <c r="C28" s="35"/>
      <c r="D28" s="49"/>
      <c r="E28" s="5">
        <v>4</v>
      </c>
      <c r="F28" s="35" t="s">
        <v>288</v>
      </c>
      <c r="G28" s="35" t="s">
        <v>5</v>
      </c>
      <c r="H28" s="35" t="s">
        <v>9</v>
      </c>
      <c r="I28" s="35" t="s">
        <v>6</v>
      </c>
      <c r="J28" s="35"/>
    </row>
    <row r="29" spans="1:10" ht="20.25" customHeight="1" x14ac:dyDescent="0.35"/>
    <row r="30" spans="1:10" ht="20.25" customHeight="1" thickBot="1" x14ac:dyDescent="0.65">
      <c r="A30" s="73" t="s">
        <v>3</v>
      </c>
      <c r="B30" s="74"/>
      <c r="C30" s="73"/>
      <c r="D30" s="74"/>
      <c r="E30" s="10" t="s">
        <v>10</v>
      </c>
      <c r="F30" s="75" t="s">
        <v>7</v>
      </c>
      <c r="G30" s="76"/>
      <c r="H30" s="76"/>
      <c r="I30" s="3"/>
    </row>
    <row r="31" spans="1:10" ht="20.25" customHeight="1" thickTop="1" x14ac:dyDescent="0.6">
      <c r="A31" s="96" t="s">
        <v>219</v>
      </c>
      <c r="B31" s="96"/>
      <c r="C31" s="96"/>
      <c r="D31" s="97"/>
      <c r="E31" s="46">
        <v>6</v>
      </c>
      <c r="F31" s="13" t="s">
        <v>288</v>
      </c>
      <c r="G31" s="77" t="s">
        <v>5</v>
      </c>
      <c r="H31" s="77"/>
      <c r="I31" s="14" t="s">
        <v>6</v>
      </c>
    </row>
    <row r="32" spans="1:10" ht="20.25" customHeight="1" x14ac:dyDescent="0.35">
      <c r="A32" s="92" t="s">
        <v>217</v>
      </c>
      <c r="B32" s="92"/>
      <c r="C32" s="92"/>
      <c r="D32" s="93"/>
      <c r="E32" s="46">
        <v>6</v>
      </c>
      <c r="F32" s="35" t="s">
        <v>288</v>
      </c>
      <c r="G32" s="35" t="s">
        <v>5</v>
      </c>
      <c r="H32" s="35"/>
      <c r="I32" s="35" t="s">
        <v>6</v>
      </c>
      <c r="J32" s="35"/>
    </row>
    <row r="33" spans="1:10" ht="20.25" customHeight="1" x14ac:dyDescent="0.35">
      <c r="A33" s="92" t="s">
        <v>218</v>
      </c>
      <c r="B33" s="92"/>
      <c r="C33" s="92"/>
      <c r="D33" s="93"/>
      <c r="E33" s="46">
        <v>12</v>
      </c>
      <c r="F33" s="35" t="s">
        <v>288</v>
      </c>
      <c r="G33" s="35" t="s">
        <v>5</v>
      </c>
      <c r="H33" s="35"/>
      <c r="I33" s="35" t="s">
        <v>6</v>
      </c>
      <c r="J33" s="35"/>
    </row>
    <row r="34" spans="1:10" ht="20.25" customHeight="1" x14ac:dyDescent="0.35">
      <c r="A34" s="92" t="s">
        <v>271</v>
      </c>
      <c r="B34" s="92"/>
      <c r="C34" s="92"/>
      <c r="D34" s="93"/>
      <c r="E34" s="46"/>
      <c r="F34" s="35" t="s">
        <v>288</v>
      </c>
      <c r="G34" s="35" t="s">
        <v>5</v>
      </c>
      <c r="H34" s="35"/>
      <c r="I34" s="35" t="s">
        <v>6</v>
      </c>
      <c r="J34" s="35"/>
    </row>
    <row r="35" spans="1:10" ht="20.25" customHeight="1" x14ac:dyDescent="0.35">
      <c r="A35" s="92" t="s">
        <v>220</v>
      </c>
      <c r="B35" s="92"/>
      <c r="C35" s="92"/>
      <c r="D35" s="93"/>
      <c r="E35" s="46">
        <v>2</v>
      </c>
      <c r="F35" s="35" t="s">
        <v>288</v>
      </c>
      <c r="G35" s="35" t="s">
        <v>5</v>
      </c>
      <c r="H35" s="35"/>
      <c r="I35" s="35" t="s">
        <v>6</v>
      </c>
      <c r="J35" s="35"/>
    </row>
    <row r="36" spans="1:10" ht="20.25" customHeight="1" x14ac:dyDescent="0.35">
      <c r="A36" s="92" t="s">
        <v>222</v>
      </c>
      <c r="B36" s="92"/>
      <c r="C36" s="92"/>
      <c r="D36" s="93"/>
      <c r="E36" s="46">
        <v>6</v>
      </c>
      <c r="F36" s="35" t="s">
        <v>288</v>
      </c>
      <c r="G36" s="35" t="s">
        <v>5</v>
      </c>
      <c r="H36" s="35"/>
      <c r="I36" s="35" t="s">
        <v>6</v>
      </c>
      <c r="J36" s="35"/>
    </row>
    <row r="37" spans="1:10" ht="20.25" customHeight="1" x14ac:dyDescent="0.35">
      <c r="A37" s="92" t="s">
        <v>221</v>
      </c>
      <c r="B37" s="92"/>
      <c r="C37" s="92"/>
      <c r="D37" s="93"/>
      <c r="E37" s="46">
        <v>14</v>
      </c>
      <c r="F37" s="35" t="s">
        <v>288</v>
      </c>
      <c r="G37" s="35" t="s">
        <v>5</v>
      </c>
      <c r="H37" s="35"/>
      <c r="I37" s="35" t="s">
        <v>6</v>
      </c>
      <c r="J37" s="35"/>
    </row>
    <row r="38" spans="1:10" ht="20.25" customHeight="1" x14ac:dyDescent="0.35">
      <c r="A38" s="92" t="s">
        <v>223</v>
      </c>
      <c r="B38" s="90"/>
      <c r="C38" s="90"/>
      <c r="D38" s="91"/>
      <c r="E38" s="46">
        <v>6</v>
      </c>
      <c r="F38" s="35" t="s">
        <v>288</v>
      </c>
      <c r="G38" s="35" t="s">
        <v>5</v>
      </c>
      <c r="H38" s="35"/>
      <c r="I38" s="35" t="s">
        <v>6</v>
      </c>
      <c r="J38" s="35"/>
    </row>
    <row r="39" spans="1:10" ht="20.25" customHeight="1" x14ac:dyDescent="0.35">
      <c r="A39" s="89" t="s">
        <v>268</v>
      </c>
      <c r="B39" s="90"/>
      <c r="C39" s="90"/>
      <c r="D39" s="91"/>
      <c r="E39" s="46">
        <v>4</v>
      </c>
      <c r="F39" s="35" t="s">
        <v>11</v>
      </c>
      <c r="G39" s="35" t="s">
        <v>5</v>
      </c>
      <c r="H39" s="35"/>
      <c r="I39" s="35" t="s">
        <v>6</v>
      </c>
      <c r="J39" s="35"/>
    </row>
    <row r="40" spans="1:10" ht="20.25" customHeight="1" x14ac:dyDescent="0.35">
      <c r="A40" s="89" t="s">
        <v>224</v>
      </c>
      <c r="B40" s="90"/>
      <c r="C40" s="90"/>
      <c r="D40" s="91"/>
      <c r="E40" s="46">
        <v>4</v>
      </c>
      <c r="F40" s="35" t="s">
        <v>11</v>
      </c>
      <c r="G40" s="35" t="s">
        <v>5</v>
      </c>
      <c r="H40" s="35"/>
      <c r="I40" s="35" t="s">
        <v>6</v>
      </c>
      <c r="J40" s="35"/>
    </row>
    <row r="41" spans="1:10" ht="20.25" customHeight="1" x14ac:dyDescent="0.35">
      <c r="A41" s="89" t="s">
        <v>127</v>
      </c>
      <c r="B41" s="90"/>
      <c r="C41" s="90"/>
      <c r="D41" s="91"/>
      <c r="E41" s="46">
        <v>8</v>
      </c>
      <c r="F41" s="35" t="s">
        <v>11</v>
      </c>
      <c r="G41" s="35" t="s">
        <v>5</v>
      </c>
      <c r="H41" s="35"/>
      <c r="I41" s="35" t="s">
        <v>6</v>
      </c>
      <c r="J41" s="35"/>
    </row>
    <row r="42" spans="1:10" ht="20.25" customHeight="1" x14ac:dyDescent="0.35">
      <c r="A42" s="89" t="s">
        <v>269</v>
      </c>
      <c r="B42" s="90"/>
      <c r="C42" s="90"/>
      <c r="D42" s="91"/>
      <c r="E42" s="46">
        <v>2</v>
      </c>
      <c r="F42" s="35" t="s">
        <v>11</v>
      </c>
      <c r="G42" s="35" t="s">
        <v>5</v>
      </c>
      <c r="H42" s="35"/>
      <c r="I42" s="35" t="s">
        <v>6</v>
      </c>
      <c r="J42" s="35"/>
    </row>
    <row r="43" spans="1:10" ht="20.25" customHeight="1" x14ac:dyDescent="0.35">
      <c r="A43" s="89" t="s">
        <v>177</v>
      </c>
      <c r="B43" s="90"/>
      <c r="C43" s="90"/>
      <c r="D43" s="91"/>
      <c r="E43" s="46">
        <v>4</v>
      </c>
      <c r="F43" s="35" t="s">
        <v>11</v>
      </c>
      <c r="G43" s="35" t="s">
        <v>5</v>
      </c>
      <c r="H43" s="35"/>
      <c r="I43" s="35" t="s">
        <v>6</v>
      </c>
      <c r="J43" s="35"/>
    </row>
    <row r="44" spans="1:10" ht="20.25" customHeight="1" x14ac:dyDescent="0.35">
      <c r="A44" s="89" t="s">
        <v>225</v>
      </c>
      <c r="B44" s="90"/>
      <c r="C44" s="90"/>
      <c r="D44" s="91"/>
      <c r="E44" s="46">
        <v>2</v>
      </c>
      <c r="F44" s="35" t="s">
        <v>11</v>
      </c>
      <c r="G44" s="35" t="s">
        <v>5</v>
      </c>
      <c r="H44" s="35"/>
      <c r="I44" s="35" t="s">
        <v>6</v>
      </c>
      <c r="J44" s="35"/>
    </row>
    <row r="45" spans="1:10" ht="20.25" customHeight="1" x14ac:dyDescent="0.6">
      <c r="A45" s="33"/>
      <c r="B45" s="34"/>
      <c r="C45" s="34"/>
      <c r="D45" s="34"/>
      <c r="F45" s="11"/>
      <c r="G45" s="11"/>
      <c r="H45" s="11"/>
      <c r="I45" s="11"/>
    </row>
    <row r="46" spans="1:10" ht="26" x14ac:dyDescent="0.6">
      <c r="A46" t="s">
        <v>12</v>
      </c>
      <c r="B46" s="11" t="s">
        <v>13</v>
      </c>
      <c r="D46" s="11" t="s">
        <v>15</v>
      </c>
      <c r="F46" s="11" t="s">
        <v>14</v>
      </c>
      <c r="G46" s="11" t="s">
        <v>16</v>
      </c>
    </row>
  </sheetData>
  <mergeCells count="21">
    <mergeCell ref="A35:D35"/>
    <mergeCell ref="B1:E1"/>
    <mergeCell ref="A3:D3"/>
    <mergeCell ref="F5:H5"/>
    <mergeCell ref="J24:J25"/>
    <mergeCell ref="A30:D30"/>
    <mergeCell ref="F30:H30"/>
    <mergeCell ref="A31:D31"/>
    <mergeCell ref="G31:H31"/>
    <mergeCell ref="A32:D32"/>
    <mergeCell ref="A33:D33"/>
    <mergeCell ref="A34:D34"/>
    <mergeCell ref="A42:D42"/>
    <mergeCell ref="A43:D43"/>
    <mergeCell ref="A44:D44"/>
    <mergeCell ref="A36:D36"/>
    <mergeCell ref="A37:D37"/>
    <mergeCell ref="A38:D38"/>
    <mergeCell ref="A39:D39"/>
    <mergeCell ref="A40:D40"/>
    <mergeCell ref="A41:D4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12/03/2019&amp;C&amp;18Version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>
    <tabColor rgb="FF0070C0"/>
  </sheetPr>
  <dimension ref="A1:J46"/>
  <sheetViews>
    <sheetView showGridLines="0" view="pageLayout" zoomScale="90" zoomScaleNormal="100" zoomScalePageLayoutView="90" workbookViewId="0">
      <selection activeCell="F12" sqref="F12"/>
    </sheetView>
  </sheetViews>
  <sheetFormatPr baseColWidth="10" defaultColWidth="11.453125" defaultRowHeight="14.5" x14ac:dyDescent="0.35"/>
  <cols>
    <col min="1" max="1" width="10.1796875" customWidth="1"/>
    <col min="2" max="2" width="7.54296875" customWidth="1"/>
    <col min="3" max="3" width="9" customWidth="1"/>
    <col min="4" max="4" width="10.1796875" customWidth="1"/>
    <col min="5" max="5" width="5.542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10.7265625" customWidth="1"/>
  </cols>
  <sheetData>
    <row r="1" spans="1:10" ht="26" x14ac:dyDescent="0.6">
      <c r="A1" s="2" t="s">
        <v>0</v>
      </c>
      <c r="B1" s="78" t="s">
        <v>193</v>
      </c>
      <c r="C1" s="78"/>
      <c r="D1" s="78"/>
      <c r="E1" s="78"/>
      <c r="F1" s="1"/>
      <c r="G1" s="3" t="s">
        <v>4</v>
      </c>
      <c r="H1">
        <f>SUM(E6:E44)</f>
        <v>112</v>
      </c>
    </row>
    <row r="2" spans="1:10" ht="26" x14ac:dyDescent="0.6">
      <c r="G2" s="3" t="s">
        <v>8</v>
      </c>
      <c r="H2">
        <v>0</v>
      </c>
    </row>
    <row r="3" spans="1:10" ht="22.5" customHeight="1" x14ac:dyDescent="0.5">
      <c r="A3" s="79" t="s">
        <v>1</v>
      </c>
      <c r="B3" s="79"/>
      <c r="C3" s="79"/>
      <c r="D3" s="79"/>
      <c r="E3" s="18" t="s">
        <v>194</v>
      </c>
      <c r="G3" t="s">
        <v>227</v>
      </c>
      <c r="H3" t="s">
        <v>228</v>
      </c>
    </row>
    <row r="4" spans="1:10" x14ac:dyDescent="0.35">
      <c r="G4" t="s">
        <v>341</v>
      </c>
      <c r="H4">
        <f>SUM(J6:J25)</f>
        <v>11608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18" t="s">
        <v>289</v>
      </c>
    </row>
    <row r="6" spans="1:10" s="3" customFormat="1" ht="20.25" customHeight="1" thickTop="1" x14ac:dyDescent="0.6">
      <c r="A6" s="56" t="s">
        <v>301</v>
      </c>
      <c r="B6" s="56"/>
      <c r="C6" s="58" t="s">
        <v>195</v>
      </c>
      <c r="E6" s="48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v>2559</v>
      </c>
    </row>
    <row r="7" spans="1:10" s="3" customFormat="1" ht="20.25" customHeight="1" x14ac:dyDescent="0.6">
      <c r="A7" s="35" t="s">
        <v>297</v>
      </c>
      <c r="B7" s="35"/>
      <c r="C7" s="35" t="s">
        <v>293</v>
      </c>
      <c r="D7" s="49"/>
      <c r="E7" s="60">
        <v>1</v>
      </c>
      <c r="F7" s="35" t="s">
        <v>288</v>
      </c>
      <c r="G7" s="35" t="s">
        <v>5</v>
      </c>
      <c r="H7" s="35" t="s">
        <v>9</v>
      </c>
      <c r="I7" s="35" t="s">
        <v>6</v>
      </c>
      <c r="J7" s="35">
        <v>285</v>
      </c>
    </row>
    <row r="8" spans="1:10" s="3" customFormat="1" ht="20.25" customHeight="1" x14ac:dyDescent="0.6">
      <c r="A8" s="35" t="s">
        <v>298</v>
      </c>
      <c r="B8" s="35"/>
      <c r="C8" s="35" t="s">
        <v>294</v>
      </c>
      <c r="D8" s="49"/>
      <c r="E8" s="60">
        <v>1</v>
      </c>
      <c r="F8" s="35" t="s">
        <v>288</v>
      </c>
      <c r="G8" s="35" t="s">
        <v>5</v>
      </c>
      <c r="H8" s="35" t="s">
        <v>9</v>
      </c>
      <c r="I8" s="35" t="s">
        <v>6</v>
      </c>
      <c r="J8" s="35">
        <v>235</v>
      </c>
    </row>
    <row r="9" spans="1:10" ht="20.25" customHeight="1" x14ac:dyDescent="0.35">
      <c r="A9" s="35" t="s">
        <v>299</v>
      </c>
      <c r="B9" s="35"/>
      <c r="C9" s="35" t="s">
        <v>295</v>
      </c>
      <c r="D9" s="49"/>
      <c r="E9" s="47">
        <v>1</v>
      </c>
      <c r="F9" s="35" t="s">
        <v>288</v>
      </c>
      <c r="G9" s="35" t="s">
        <v>5</v>
      </c>
      <c r="H9" s="35" t="s">
        <v>9</v>
      </c>
      <c r="I9" s="35" t="s">
        <v>6</v>
      </c>
      <c r="J9" s="35">
        <v>552</v>
      </c>
    </row>
    <row r="10" spans="1:10" ht="20.25" customHeight="1" x14ac:dyDescent="0.35">
      <c r="A10" s="35" t="s">
        <v>300</v>
      </c>
      <c r="B10" s="35"/>
      <c r="C10" s="35" t="s">
        <v>296</v>
      </c>
      <c r="D10" s="49"/>
      <c r="E10" s="47">
        <v>1</v>
      </c>
      <c r="F10" s="35" t="s">
        <v>288</v>
      </c>
      <c r="G10" s="35" t="s">
        <v>5</v>
      </c>
      <c r="H10" s="35" t="s">
        <v>9</v>
      </c>
      <c r="I10" s="35" t="s">
        <v>6</v>
      </c>
      <c r="J10" s="35">
        <v>503</v>
      </c>
    </row>
    <row r="11" spans="1:10" ht="20.25" customHeight="1" x14ac:dyDescent="0.35">
      <c r="A11" s="35"/>
      <c r="B11" s="35"/>
      <c r="C11" s="35" t="s">
        <v>196</v>
      </c>
      <c r="D11" s="49"/>
      <c r="E11" s="47">
        <v>1</v>
      </c>
      <c r="F11" s="35" t="s">
        <v>288</v>
      </c>
      <c r="G11" s="35" t="s">
        <v>5</v>
      </c>
      <c r="H11" s="35" t="s">
        <v>9</v>
      </c>
      <c r="I11" s="35" t="s">
        <v>6</v>
      </c>
      <c r="J11" s="35">
        <v>385</v>
      </c>
    </row>
    <row r="12" spans="1:10" ht="20.25" customHeight="1" x14ac:dyDescent="0.35">
      <c r="A12" s="35"/>
      <c r="B12" s="35"/>
      <c r="C12" s="35" t="s">
        <v>197</v>
      </c>
      <c r="D12" s="49"/>
      <c r="E12" s="47">
        <v>1</v>
      </c>
      <c r="F12" s="35" t="s">
        <v>288</v>
      </c>
      <c r="G12" s="35" t="s">
        <v>5</v>
      </c>
      <c r="H12" s="35" t="s">
        <v>9</v>
      </c>
      <c r="I12" s="35" t="s">
        <v>6</v>
      </c>
      <c r="J12" s="35">
        <v>266</v>
      </c>
    </row>
    <row r="13" spans="1:10" ht="20.25" customHeight="1" x14ac:dyDescent="0.35">
      <c r="A13" s="35"/>
      <c r="B13" s="35"/>
      <c r="C13" s="35" t="s">
        <v>198</v>
      </c>
      <c r="D13" s="49"/>
      <c r="E13" s="47">
        <v>1</v>
      </c>
      <c r="F13" s="35" t="s">
        <v>288</v>
      </c>
      <c r="G13" s="35" t="s">
        <v>5</v>
      </c>
      <c r="H13" s="35" t="s">
        <v>9</v>
      </c>
      <c r="I13" s="35" t="s">
        <v>6</v>
      </c>
      <c r="J13" s="35">
        <v>299</v>
      </c>
    </row>
    <row r="14" spans="1:10" ht="20.25" customHeight="1" x14ac:dyDescent="0.35">
      <c r="A14" s="35"/>
      <c r="B14" s="35"/>
      <c r="C14" s="35" t="s">
        <v>340</v>
      </c>
      <c r="D14" s="49"/>
      <c r="E14" s="47"/>
      <c r="F14" s="35"/>
      <c r="G14" s="35"/>
      <c r="H14" s="35"/>
      <c r="I14" s="35"/>
      <c r="J14" s="35">
        <v>171</v>
      </c>
    </row>
    <row r="15" spans="1:10" ht="20.25" customHeight="1" x14ac:dyDescent="0.35">
      <c r="A15" s="35" t="s">
        <v>306</v>
      </c>
      <c r="B15" s="35"/>
      <c r="C15" s="35" t="s">
        <v>199</v>
      </c>
      <c r="D15" s="49"/>
      <c r="E15" s="47">
        <v>1</v>
      </c>
      <c r="F15" s="35" t="s">
        <v>288</v>
      </c>
      <c r="G15" s="35" t="s">
        <v>5</v>
      </c>
      <c r="H15" s="35" t="s">
        <v>9</v>
      </c>
      <c r="I15" s="35" t="s">
        <v>6</v>
      </c>
      <c r="J15" s="35">
        <v>1562</v>
      </c>
    </row>
    <row r="16" spans="1:10" ht="20.25" customHeight="1" x14ac:dyDescent="0.35">
      <c r="A16" s="35" t="s">
        <v>307</v>
      </c>
      <c r="B16" s="35"/>
      <c r="C16" s="35" t="s">
        <v>200</v>
      </c>
      <c r="D16" s="49"/>
      <c r="E16" s="5">
        <v>1</v>
      </c>
      <c r="F16" s="35" t="s">
        <v>288</v>
      </c>
      <c r="G16" s="35" t="s">
        <v>5</v>
      </c>
      <c r="H16" s="35" t="s">
        <v>9</v>
      </c>
      <c r="I16" s="35" t="s">
        <v>6</v>
      </c>
      <c r="J16" s="35">
        <v>826</v>
      </c>
    </row>
    <row r="17" spans="1:10" ht="20.25" customHeight="1" x14ac:dyDescent="0.35">
      <c r="A17" s="35"/>
      <c r="B17" s="35"/>
      <c r="C17" s="35" t="s">
        <v>201</v>
      </c>
      <c r="D17" s="49"/>
      <c r="E17" s="47">
        <v>1</v>
      </c>
      <c r="F17" s="35" t="s">
        <v>288</v>
      </c>
      <c r="G17" s="35" t="s">
        <v>5</v>
      </c>
      <c r="H17" s="35" t="s">
        <v>9</v>
      </c>
      <c r="I17" s="35" t="s">
        <v>6</v>
      </c>
      <c r="J17" s="35">
        <v>420</v>
      </c>
    </row>
    <row r="18" spans="1:10" ht="20.25" customHeight="1" x14ac:dyDescent="0.35">
      <c r="A18" s="35" t="s">
        <v>304</v>
      </c>
      <c r="B18" s="35"/>
      <c r="C18" s="35" t="s">
        <v>202</v>
      </c>
      <c r="D18" s="49"/>
      <c r="E18" s="5">
        <v>1</v>
      </c>
      <c r="F18" s="35" t="s">
        <v>288</v>
      </c>
      <c r="G18" s="35" t="s">
        <v>5</v>
      </c>
      <c r="H18" s="35" t="s">
        <v>9</v>
      </c>
      <c r="I18" s="35" t="s">
        <v>6</v>
      </c>
      <c r="J18" s="35"/>
    </row>
    <row r="19" spans="1:10" ht="20.25" customHeight="1" x14ac:dyDescent="0.35">
      <c r="A19" s="35" t="s">
        <v>305</v>
      </c>
      <c r="B19" s="35"/>
      <c r="C19" s="35" t="s">
        <v>203</v>
      </c>
      <c r="D19" s="49"/>
      <c r="E19" s="5">
        <v>1</v>
      </c>
      <c r="F19" s="35" t="s">
        <v>288</v>
      </c>
      <c r="G19" s="35" t="s">
        <v>5</v>
      </c>
      <c r="H19" s="35" t="s">
        <v>9</v>
      </c>
      <c r="I19" s="35" t="s">
        <v>6</v>
      </c>
      <c r="J19" s="35"/>
    </row>
    <row r="20" spans="1:10" ht="20.25" customHeight="1" x14ac:dyDescent="0.35">
      <c r="A20" s="35"/>
      <c r="B20" s="35"/>
      <c r="C20" s="35" t="s">
        <v>347</v>
      </c>
      <c r="D20" s="49"/>
      <c r="E20" s="5">
        <v>4</v>
      </c>
      <c r="F20" s="35" t="s">
        <v>288</v>
      </c>
      <c r="G20" s="35" t="s">
        <v>5</v>
      </c>
      <c r="H20" s="35" t="s">
        <v>9</v>
      </c>
      <c r="I20" s="35" t="s">
        <v>6</v>
      </c>
      <c r="J20" s="35">
        <f>69*E20</f>
        <v>276</v>
      </c>
    </row>
    <row r="21" spans="1:10" ht="20.25" customHeight="1" x14ac:dyDescent="0.35">
      <c r="A21" s="35"/>
      <c r="B21" s="35"/>
      <c r="C21" s="35" t="s">
        <v>212</v>
      </c>
      <c r="D21" s="49"/>
      <c r="E21" s="5">
        <v>4</v>
      </c>
      <c r="F21" s="35" t="s">
        <v>288</v>
      </c>
      <c r="G21" s="35" t="s">
        <v>5</v>
      </c>
      <c r="H21" s="35" t="s">
        <v>9</v>
      </c>
      <c r="I21" s="35" t="s">
        <v>6</v>
      </c>
      <c r="J21" s="35">
        <f>E21*160</f>
        <v>640</v>
      </c>
    </row>
    <row r="22" spans="1:10" ht="20.25" customHeight="1" x14ac:dyDescent="0.35">
      <c r="A22" s="35"/>
      <c r="B22" s="35"/>
      <c r="C22" s="35" t="s">
        <v>345</v>
      </c>
      <c r="D22" s="49"/>
      <c r="E22" s="5">
        <v>2</v>
      </c>
      <c r="F22" s="35" t="s">
        <v>288</v>
      </c>
      <c r="G22" s="35" t="s">
        <v>5</v>
      </c>
      <c r="H22" s="35" t="s">
        <v>9</v>
      </c>
      <c r="I22" s="35" t="s">
        <v>6</v>
      </c>
      <c r="J22" s="35">
        <f>E22*605</f>
        <v>1210</v>
      </c>
    </row>
    <row r="23" spans="1:10" ht="20.25" customHeight="1" x14ac:dyDescent="0.35">
      <c r="A23" s="35"/>
      <c r="B23" s="35"/>
      <c r="C23" s="35" t="s">
        <v>346</v>
      </c>
      <c r="D23" s="49"/>
      <c r="E23" s="5">
        <v>2</v>
      </c>
      <c r="F23" s="35" t="s">
        <v>288</v>
      </c>
      <c r="G23" s="35" t="s">
        <v>5</v>
      </c>
      <c r="H23" s="35" t="s">
        <v>9</v>
      </c>
      <c r="I23" s="35" t="s">
        <v>6</v>
      </c>
      <c r="J23" s="35">
        <f>563*E23</f>
        <v>1126</v>
      </c>
    </row>
    <row r="24" spans="1:10" ht="20.25" customHeight="1" x14ac:dyDescent="0.35">
      <c r="A24" s="35" t="s">
        <v>302</v>
      </c>
      <c r="B24" s="35"/>
      <c r="C24" s="35" t="s">
        <v>204</v>
      </c>
      <c r="D24" s="49"/>
      <c r="E24" s="5">
        <v>1</v>
      </c>
      <c r="F24" s="35" t="s">
        <v>288</v>
      </c>
      <c r="G24" s="35" t="s">
        <v>5</v>
      </c>
      <c r="H24" s="35" t="s">
        <v>9</v>
      </c>
      <c r="I24" s="35" t="s">
        <v>6</v>
      </c>
      <c r="J24" s="98">
        <v>293</v>
      </c>
    </row>
    <row r="25" spans="1:10" ht="20.25" customHeight="1" x14ac:dyDescent="0.35">
      <c r="A25" s="35" t="s">
        <v>303</v>
      </c>
      <c r="B25" s="35"/>
      <c r="C25" s="35" t="s">
        <v>213</v>
      </c>
      <c r="D25" s="49"/>
      <c r="E25" s="47">
        <v>2</v>
      </c>
      <c r="F25" s="35" t="s">
        <v>288</v>
      </c>
      <c r="G25" s="35" t="s">
        <v>5</v>
      </c>
      <c r="H25" s="35" t="s">
        <v>9</v>
      </c>
      <c r="I25" s="35" t="s">
        <v>6</v>
      </c>
      <c r="J25" s="99"/>
    </row>
    <row r="26" spans="1:10" ht="20.25" customHeight="1" x14ac:dyDescent="0.35">
      <c r="A26" s="35"/>
      <c r="B26" s="35"/>
      <c r="C26" s="35" t="s">
        <v>214</v>
      </c>
      <c r="D26" s="49"/>
      <c r="E26" s="5">
        <v>2</v>
      </c>
      <c r="F26" s="35" t="s">
        <v>288</v>
      </c>
      <c r="G26" s="35" t="s">
        <v>5</v>
      </c>
      <c r="H26" s="35" t="s">
        <v>9</v>
      </c>
      <c r="I26" s="35" t="s">
        <v>6</v>
      </c>
      <c r="J26" s="35"/>
    </row>
    <row r="27" spans="1:10" ht="20.25" customHeight="1" x14ac:dyDescent="0.35">
      <c r="A27" s="35"/>
      <c r="B27" s="35"/>
      <c r="C27" s="35" t="s">
        <v>215</v>
      </c>
      <c r="D27" s="49"/>
      <c r="E27" s="5">
        <v>2</v>
      </c>
      <c r="F27" s="35" t="s">
        <v>288</v>
      </c>
      <c r="G27" s="35" t="s">
        <v>5</v>
      </c>
      <c r="H27" s="35" t="s">
        <v>9</v>
      </c>
      <c r="I27" s="35" t="s">
        <v>6</v>
      </c>
      <c r="J27" s="35"/>
    </row>
    <row r="28" spans="1:10" ht="20.25" customHeight="1" x14ac:dyDescent="0.35">
      <c r="A28" s="35"/>
      <c r="B28" s="35"/>
      <c r="C28" s="35" t="s">
        <v>216</v>
      </c>
      <c r="D28" s="49"/>
      <c r="E28" s="5">
        <v>4</v>
      </c>
      <c r="F28" s="35" t="s">
        <v>288</v>
      </c>
      <c r="G28" s="35" t="s">
        <v>5</v>
      </c>
      <c r="H28" s="35" t="s">
        <v>9</v>
      </c>
      <c r="I28" s="35" t="s">
        <v>6</v>
      </c>
      <c r="J28" s="35">
        <f>3*E28</f>
        <v>12</v>
      </c>
    </row>
    <row r="29" spans="1:10" ht="20.25" customHeight="1" x14ac:dyDescent="0.35"/>
    <row r="30" spans="1:10" ht="20.25" customHeight="1" thickBot="1" x14ac:dyDescent="0.65">
      <c r="A30" s="73" t="s">
        <v>3</v>
      </c>
      <c r="B30" s="74"/>
      <c r="C30" s="73"/>
      <c r="D30" s="74"/>
      <c r="E30" s="10" t="s">
        <v>10</v>
      </c>
      <c r="F30" s="75" t="s">
        <v>7</v>
      </c>
      <c r="G30" s="76"/>
      <c r="H30" s="76"/>
      <c r="I30" s="3"/>
    </row>
    <row r="31" spans="1:10" ht="20.25" customHeight="1" thickTop="1" x14ac:dyDescent="0.6">
      <c r="A31" s="96" t="s">
        <v>219</v>
      </c>
      <c r="B31" s="96"/>
      <c r="C31" s="96"/>
      <c r="D31" s="97"/>
      <c r="E31" s="46">
        <v>6</v>
      </c>
      <c r="F31" s="13" t="s">
        <v>288</v>
      </c>
      <c r="G31" s="77" t="s">
        <v>5</v>
      </c>
      <c r="H31" s="77"/>
      <c r="I31" s="14" t="s">
        <v>6</v>
      </c>
    </row>
    <row r="32" spans="1:10" ht="20.25" customHeight="1" x14ac:dyDescent="0.35">
      <c r="A32" s="92" t="s">
        <v>217</v>
      </c>
      <c r="B32" s="92"/>
      <c r="C32" s="92"/>
      <c r="D32" s="93"/>
      <c r="E32" s="46">
        <v>6</v>
      </c>
      <c r="F32" s="35" t="s">
        <v>288</v>
      </c>
      <c r="G32" s="35" t="s">
        <v>5</v>
      </c>
      <c r="H32" s="35"/>
      <c r="I32" s="35" t="s">
        <v>6</v>
      </c>
      <c r="J32" s="35"/>
    </row>
    <row r="33" spans="1:10" ht="20.25" customHeight="1" x14ac:dyDescent="0.35">
      <c r="A33" s="92" t="s">
        <v>218</v>
      </c>
      <c r="B33" s="92"/>
      <c r="C33" s="92"/>
      <c r="D33" s="93"/>
      <c r="E33" s="46">
        <v>12</v>
      </c>
      <c r="F33" s="35" t="s">
        <v>288</v>
      </c>
      <c r="G33" s="35" t="s">
        <v>5</v>
      </c>
      <c r="H33" s="35"/>
      <c r="I33" s="35" t="s">
        <v>6</v>
      </c>
      <c r="J33" s="35"/>
    </row>
    <row r="34" spans="1:10" ht="20.25" customHeight="1" x14ac:dyDescent="0.35">
      <c r="A34" s="92" t="s">
        <v>271</v>
      </c>
      <c r="B34" s="92"/>
      <c r="C34" s="92"/>
      <c r="D34" s="93"/>
      <c r="E34" s="46"/>
      <c r="F34" s="35" t="s">
        <v>288</v>
      </c>
      <c r="G34" s="35" t="s">
        <v>5</v>
      </c>
      <c r="H34" s="35"/>
      <c r="I34" s="35" t="s">
        <v>6</v>
      </c>
      <c r="J34" s="35"/>
    </row>
    <row r="35" spans="1:10" ht="20.25" customHeight="1" x14ac:dyDescent="0.35">
      <c r="A35" s="92" t="s">
        <v>220</v>
      </c>
      <c r="B35" s="92"/>
      <c r="C35" s="92"/>
      <c r="D35" s="93"/>
      <c r="E35" s="46">
        <v>2</v>
      </c>
      <c r="F35" s="35" t="s">
        <v>288</v>
      </c>
      <c r="G35" s="35" t="s">
        <v>5</v>
      </c>
      <c r="H35" s="35"/>
      <c r="I35" s="35" t="s">
        <v>6</v>
      </c>
      <c r="J35" s="35"/>
    </row>
    <row r="36" spans="1:10" ht="20.25" customHeight="1" x14ac:dyDescent="0.35">
      <c r="A36" s="92" t="s">
        <v>222</v>
      </c>
      <c r="B36" s="92"/>
      <c r="C36" s="92"/>
      <c r="D36" s="93"/>
      <c r="E36" s="46">
        <v>6</v>
      </c>
      <c r="F36" s="35" t="s">
        <v>288</v>
      </c>
      <c r="G36" s="35" t="s">
        <v>5</v>
      </c>
      <c r="H36" s="35"/>
      <c r="I36" s="35" t="s">
        <v>6</v>
      </c>
      <c r="J36" s="35"/>
    </row>
    <row r="37" spans="1:10" ht="20.25" customHeight="1" x14ac:dyDescent="0.35">
      <c r="A37" s="92" t="s">
        <v>221</v>
      </c>
      <c r="B37" s="92"/>
      <c r="C37" s="92"/>
      <c r="D37" s="93"/>
      <c r="E37" s="46">
        <v>14</v>
      </c>
      <c r="F37" s="35" t="s">
        <v>288</v>
      </c>
      <c r="G37" s="35" t="s">
        <v>5</v>
      </c>
      <c r="H37" s="35"/>
      <c r="I37" s="35" t="s">
        <v>6</v>
      </c>
      <c r="J37" s="35"/>
    </row>
    <row r="38" spans="1:10" ht="20.25" customHeight="1" x14ac:dyDescent="0.35">
      <c r="A38" s="92" t="s">
        <v>223</v>
      </c>
      <c r="B38" s="90"/>
      <c r="C38" s="90"/>
      <c r="D38" s="91"/>
      <c r="E38" s="46">
        <v>6</v>
      </c>
      <c r="F38" s="35" t="s">
        <v>288</v>
      </c>
      <c r="G38" s="35" t="s">
        <v>5</v>
      </c>
      <c r="H38" s="35"/>
      <c r="I38" s="35" t="s">
        <v>6</v>
      </c>
      <c r="J38" s="35"/>
    </row>
    <row r="39" spans="1:10" ht="20.25" customHeight="1" x14ac:dyDescent="0.35">
      <c r="A39" s="89" t="s">
        <v>268</v>
      </c>
      <c r="B39" s="90"/>
      <c r="C39" s="90"/>
      <c r="D39" s="91"/>
      <c r="E39" s="46">
        <v>4</v>
      </c>
      <c r="F39" s="35" t="s">
        <v>11</v>
      </c>
      <c r="G39" s="35" t="s">
        <v>5</v>
      </c>
      <c r="H39" s="35"/>
      <c r="I39" s="35" t="s">
        <v>6</v>
      </c>
      <c r="J39" s="35"/>
    </row>
    <row r="40" spans="1:10" ht="20.25" customHeight="1" x14ac:dyDescent="0.35">
      <c r="A40" s="89" t="s">
        <v>224</v>
      </c>
      <c r="B40" s="90"/>
      <c r="C40" s="90"/>
      <c r="D40" s="91"/>
      <c r="E40" s="46">
        <v>4</v>
      </c>
      <c r="F40" s="35" t="s">
        <v>11</v>
      </c>
      <c r="G40" s="35" t="s">
        <v>5</v>
      </c>
      <c r="H40" s="35"/>
      <c r="I40" s="35" t="s">
        <v>6</v>
      </c>
      <c r="J40" s="35"/>
    </row>
    <row r="41" spans="1:10" ht="20.25" customHeight="1" x14ac:dyDescent="0.35">
      <c r="A41" s="89" t="s">
        <v>127</v>
      </c>
      <c r="B41" s="90"/>
      <c r="C41" s="90"/>
      <c r="D41" s="91"/>
      <c r="E41" s="46">
        <v>8</v>
      </c>
      <c r="F41" s="35" t="s">
        <v>11</v>
      </c>
      <c r="G41" s="35" t="s">
        <v>5</v>
      </c>
      <c r="H41" s="35"/>
      <c r="I41" s="35" t="s">
        <v>6</v>
      </c>
      <c r="J41" s="35"/>
    </row>
    <row r="42" spans="1:10" ht="20.25" customHeight="1" x14ac:dyDescent="0.35">
      <c r="A42" s="89" t="s">
        <v>269</v>
      </c>
      <c r="B42" s="90"/>
      <c r="C42" s="90"/>
      <c r="D42" s="91"/>
      <c r="E42" s="46">
        <v>2</v>
      </c>
      <c r="F42" s="35" t="s">
        <v>11</v>
      </c>
      <c r="G42" s="35" t="s">
        <v>5</v>
      </c>
      <c r="H42" s="35"/>
      <c r="I42" s="35" t="s">
        <v>6</v>
      </c>
      <c r="J42" s="35"/>
    </row>
    <row r="43" spans="1:10" ht="20.25" customHeight="1" x14ac:dyDescent="0.35">
      <c r="A43" s="89" t="s">
        <v>177</v>
      </c>
      <c r="B43" s="90"/>
      <c r="C43" s="90"/>
      <c r="D43" s="91"/>
      <c r="E43" s="46">
        <v>4</v>
      </c>
      <c r="F43" s="35" t="s">
        <v>11</v>
      </c>
      <c r="G43" s="35" t="s">
        <v>5</v>
      </c>
      <c r="H43" s="35"/>
      <c r="I43" s="35" t="s">
        <v>6</v>
      </c>
      <c r="J43" s="35"/>
    </row>
    <row r="44" spans="1:10" ht="20.25" customHeight="1" x14ac:dyDescent="0.35">
      <c r="A44" s="89" t="s">
        <v>225</v>
      </c>
      <c r="B44" s="90"/>
      <c r="C44" s="90"/>
      <c r="D44" s="91"/>
      <c r="E44" s="46">
        <v>2</v>
      </c>
      <c r="F44" s="35" t="s">
        <v>11</v>
      </c>
      <c r="G44" s="35" t="s">
        <v>5</v>
      </c>
      <c r="H44" s="35"/>
      <c r="I44" s="35" t="s">
        <v>6</v>
      </c>
      <c r="J44" s="35"/>
    </row>
    <row r="45" spans="1:10" ht="20.25" customHeight="1" x14ac:dyDescent="0.6">
      <c r="A45" s="33"/>
      <c r="B45" s="34"/>
      <c r="C45" s="34"/>
      <c r="D45" s="34"/>
      <c r="F45" s="11"/>
      <c r="G45" s="11"/>
      <c r="H45" s="11"/>
      <c r="I45" s="11"/>
    </row>
    <row r="46" spans="1:10" ht="26" x14ac:dyDescent="0.6">
      <c r="A46" t="s">
        <v>12</v>
      </c>
      <c r="B46" s="11" t="s">
        <v>13</v>
      </c>
      <c r="D46" s="11" t="s">
        <v>15</v>
      </c>
      <c r="F46" s="11" t="s">
        <v>14</v>
      </c>
      <c r="G46" s="11" t="s">
        <v>16</v>
      </c>
    </row>
  </sheetData>
  <mergeCells count="21">
    <mergeCell ref="A44:D44"/>
    <mergeCell ref="A42:D42"/>
    <mergeCell ref="A43:D43"/>
    <mergeCell ref="A32:D32"/>
    <mergeCell ref="J24:J25"/>
    <mergeCell ref="A41:D41"/>
    <mergeCell ref="A37:D37"/>
    <mergeCell ref="A38:D38"/>
    <mergeCell ref="A33:D33"/>
    <mergeCell ref="A35:D35"/>
    <mergeCell ref="A40:D40"/>
    <mergeCell ref="A39:D39"/>
    <mergeCell ref="A36:D36"/>
    <mergeCell ref="B1:E1"/>
    <mergeCell ref="A3:D3"/>
    <mergeCell ref="F5:H5"/>
    <mergeCell ref="A34:D34"/>
    <mergeCell ref="A30:D30"/>
    <mergeCell ref="F30:H30"/>
    <mergeCell ref="A31:D31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12/03/2019&amp;C&amp;18Version : 1.0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>
    <tabColor rgb="FF0070C0"/>
  </sheetPr>
  <dimension ref="A1:I33"/>
  <sheetViews>
    <sheetView showGridLines="0" view="pageLayout" topLeftCell="A19" zoomScaleNormal="100" workbookViewId="0">
      <selection activeCell="A24" sqref="A24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105</v>
      </c>
      <c r="B1" s="100" t="s">
        <v>106</v>
      </c>
      <c r="C1" s="100"/>
      <c r="D1" s="100"/>
      <c r="E1" s="100"/>
      <c r="F1" s="1"/>
      <c r="G1" s="3" t="s">
        <v>4</v>
      </c>
      <c r="H1">
        <f>SUM(E6:E30)</f>
        <v>52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79" t="s">
        <v>1</v>
      </c>
      <c r="B3" s="79"/>
      <c r="C3" s="80"/>
      <c r="D3" s="80"/>
      <c r="E3" t="s">
        <v>107</v>
      </c>
      <c r="G3" t="s">
        <v>227</v>
      </c>
      <c r="H3" t="s">
        <v>228</v>
      </c>
    </row>
    <row r="5" spans="1:9" s="3" customFormat="1" ht="49.5" customHeight="1" thickBot="1" x14ac:dyDescent="0.65">
      <c r="A5" s="73" t="s">
        <v>2</v>
      </c>
      <c r="B5" s="73"/>
      <c r="C5" s="73"/>
      <c r="D5" s="74"/>
      <c r="E5" s="7" t="s">
        <v>10</v>
      </c>
      <c r="F5" s="75" t="s">
        <v>7</v>
      </c>
      <c r="G5" s="76"/>
      <c r="H5" s="76"/>
    </row>
    <row r="6" spans="1:9" s="3" customFormat="1" ht="19.75" customHeight="1" thickTop="1" x14ac:dyDescent="0.6">
      <c r="A6" s="22" t="s">
        <v>108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35" t="s">
        <v>109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35" t="s">
        <v>110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35" t="s">
        <v>111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35" t="s">
        <v>112</v>
      </c>
      <c r="B10" s="35"/>
      <c r="C10" s="35"/>
      <c r="D10" s="35"/>
      <c r="E10" s="41">
        <v>3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35" t="s">
        <v>113</v>
      </c>
      <c r="B11" s="35"/>
      <c r="C11" s="35"/>
      <c r="D11" s="35"/>
      <c r="E11" s="41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35" t="s">
        <v>114</v>
      </c>
      <c r="B12" s="35"/>
      <c r="C12" s="35"/>
      <c r="D12" s="35"/>
      <c r="E12" s="41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35" t="s">
        <v>115</v>
      </c>
      <c r="B13" s="35"/>
      <c r="C13" s="35"/>
      <c r="D13" s="35"/>
      <c r="E13" s="41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35" t="s">
        <v>116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35" t="s">
        <v>117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35" t="s">
        <v>118</v>
      </c>
      <c r="B16" s="35"/>
      <c r="C16" s="35"/>
      <c r="D16" s="35"/>
      <c r="E16" s="41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35" t="s">
        <v>119</v>
      </c>
      <c r="B17" s="35"/>
      <c r="C17" s="35"/>
      <c r="D17" s="35"/>
      <c r="E17" s="41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35" t="s">
        <v>120</v>
      </c>
      <c r="B18" s="35"/>
      <c r="C18" s="35"/>
      <c r="D18" s="35"/>
      <c r="E18" s="41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35" t="s">
        <v>121</v>
      </c>
      <c r="B19" s="35"/>
      <c r="C19" s="35"/>
      <c r="D19" s="35"/>
      <c r="E19" s="41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35" t="s">
        <v>122</v>
      </c>
      <c r="B20" s="35"/>
      <c r="C20" s="35"/>
      <c r="D20" s="35"/>
      <c r="E20" s="41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35" t="s">
        <v>123</v>
      </c>
      <c r="B21" s="35"/>
      <c r="C21" s="35"/>
      <c r="D21" s="35"/>
      <c r="E21" s="41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35" t="s">
        <v>124</v>
      </c>
      <c r="B22" s="35"/>
      <c r="C22" s="35"/>
      <c r="D22" s="35"/>
      <c r="E22" s="41">
        <v>3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35" t="s">
        <v>125</v>
      </c>
      <c r="B23" s="35"/>
      <c r="C23" s="35"/>
      <c r="D23" s="35"/>
      <c r="E23" s="41">
        <v>1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35"/>
    <row r="25" spans="1:9" ht="19.75" customHeight="1" thickBot="1" x14ac:dyDescent="0.65">
      <c r="A25" s="73" t="s">
        <v>3</v>
      </c>
      <c r="B25" s="74"/>
      <c r="C25" s="73"/>
      <c r="D25" s="74"/>
      <c r="E25" s="10" t="s">
        <v>10</v>
      </c>
      <c r="F25" s="75" t="s">
        <v>7</v>
      </c>
      <c r="G25" s="76"/>
      <c r="H25" s="76"/>
      <c r="I25" s="3"/>
    </row>
    <row r="26" spans="1:9" ht="19.75" customHeight="1" thickTop="1" x14ac:dyDescent="0.6">
      <c r="A26" s="22" t="s">
        <v>126</v>
      </c>
      <c r="B26" s="22"/>
      <c r="C26" s="22"/>
      <c r="D26" s="36"/>
      <c r="E26" s="23">
        <v>4</v>
      </c>
      <c r="F26" s="13" t="s">
        <v>11</v>
      </c>
      <c r="G26" s="77" t="s">
        <v>5</v>
      </c>
      <c r="H26" s="77"/>
      <c r="I26" s="14" t="s">
        <v>6</v>
      </c>
    </row>
    <row r="27" spans="1:9" ht="19.75" customHeight="1" x14ac:dyDescent="0.6">
      <c r="A27" s="23" t="s">
        <v>127</v>
      </c>
      <c r="B27" s="23"/>
      <c r="C27" s="23"/>
      <c r="D27" s="37"/>
      <c r="E27" s="23">
        <v>12</v>
      </c>
      <c r="F27" s="12" t="s">
        <v>11</v>
      </c>
      <c r="G27" s="72" t="s">
        <v>5</v>
      </c>
      <c r="H27" s="72"/>
      <c r="I27" s="11" t="s">
        <v>6</v>
      </c>
    </row>
    <row r="28" spans="1:9" ht="19.75" customHeight="1" x14ac:dyDescent="0.6">
      <c r="A28" s="23" t="s">
        <v>128</v>
      </c>
      <c r="B28" s="23"/>
      <c r="C28" s="23"/>
      <c r="D28" s="37"/>
      <c r="E28" s="23">
        <v>9</v>
      </c>
      <c r="F28" s="12" t="s">
        <v>11</v>
      </c>
      <c r="G28" s="72" t="s">
        <v>5</v>
      </c>
      <c r="H28" s="72"/>
      <c r="I28" s="11" t="s">
        <v>6</v>
      </c>
    </row>
    <row r="29" spans="1:9" ht="19.75" customHeight="1" x14ac:dyDescent="0.6">
      <c r="A29" s="23" t="s">
        <v>129</v>
      </c>
      <c r="B29" s="23"/>
      <c r="C29" s="23"/>
      <c r="D29" s="37"/>
      <c r="E29" s="23">
        <v>2</v>
      </c>
      <c r="F29" s="12" t="s">
        <v>11</v>
      </c>
      <c r="G29" s="72" t="s">
        <v>5</v>
      </c>
      <c r="H29" s="72"/>
      <c r="I29" s="11" t="s">
        <v>6</v>
      </c>
    </row>
    <row r="30" spans="1:9" ht="19.75" customHeight="1" x14ac:dyDescent="0.6">
      <c r="A30" s="23" t="s">
        <v>130</v>
      </c>
      <c r="B30" s="23"/>
      <c r="C30" s="23"/>
      <c r="D30" s="37"/>
      <c r="E30" s="23">
        <v>2</v>
      </c>
      <c r="F30" s="12" t="s">
        <v>11</v>
      </c>
      <c r="G30" s="72" t="s">
        <v>5</v>
      </c>
      <c r="H30" s="72"/>
      <c r="I30" s="11" t="s">
        <v>6</v>
      </c>
    </row>
    <row r="31" spans="1:9" ht="19.75" customHeight="1" x14ac:dyDescent="0.6">
      <c r="A31" s="23"/>
      <c r="B31" s="8"/>
      <c r="C31" s="8"/>
      <c r="D31" s="17"/>
      <c r="E31" s="8"/>
      <c r="F31" s="12" t="s">
        <v>11</v>
      </c>
      <c r="G31" s="72" t="s">
        <v>5</v>
      </c>
      <c r="H31" s="72"/>
      <c r="I31" s="11" t="s">
        <v>6</v>
      </c>
    </row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0">
    <tabColor rgb="FF0070C0"/>
  </sheetPr>
  <dimension ref="A1:J41"/>
  <sheetViews>
    <sheetView showGridLines="0" view="pageLayout" topLeftCell="A2" zoomScale="90" zoomScaleNormal="100" zoomScalePageLayoutView="90" workbookViewId="0">
      <selection activeCell="J7" sqref="J7"/>
    </sheetView>
  </sheetViews>
  <sheetFormatPr baseColWidth="10" defaultColWidth="11.453125" defaultRowHeight="14.5" x14ac:dyDescent="0.35"/>
  <cols>
    <col min="1" max="1" width="10.1796875" customWidth="1"/>
    <col min="2" max="2" width="7.453125" customWidth="1"/>
    <col min="3" max="3" width="9" customWidth="1"/>
    <col min="4" max="4" width="12.90625" customWidth="1"/>
    <col min="5" max="5" width="6.08984375" customWidth="1"/>
    <col min="6" max="6" width="16.72656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0.5" customHeight="1" x14ac:dyDescent="0.6">
      <c r="A1" s="2" t="s">
        <v>0</v>
      </c>
      <c r="B1" s="78" t="s">
        <v>138</v>
      </c>
      <c r="C1" s="78"/>
      <c r="D1" s="78"/>
      <c r="E1" s="78"/>
      <c r="F1" s="1"/>
      <c r="G1" s="3" t="s">
        <v>4</v>
      </c>
      <c r="H1">
        <f>SUM(E6:E39)</f>
        <v>136</v>
      </c>
    </row>
    <row r="2" spans="1:10" ht="21.75" customHeight="1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139</v>
      </c>
      <c r="G3" t="s">
        <v>227</v>
      </c>
      <c r="H3" t="s">
        <v>228</v>
      </c>
    </row>
    <row r="4" spans="1:10" x14ac:dyDescent="0.35">
      <c r="G4" t="s">
        <v>289</v>
      </c>
      <c r="H4">
        <f>SUM(J6:J26)</f>
        <v>1368</v>
      </c>
    </row>
    <row r="5" spans="1:10" s="3" customFormat="1" ht="19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18" t="s">
        <v>289</v>
      </c>
    </row>
    <row r="6" spans="1:10" s="3" customFormat="1" ht="20.25" customHeight="1" thickTop="1" x14ac:dyDescent="0.6">
      <c r="A6" s="4" t="s">
        <v>308</v>
      </c>
      <c r="B6" s="15"/>
      <c r="C6" s="4" t="s">
        <v>165</v>
      </c>
      <c r="D6" s="15"/>
      <c r="E6" s="6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">
        <v>359</v>
      </c>
    </row>
    <row r="7" spans="1:10" ht="20.25" customHeight="1" x14ac:dyDescent="0.6">
      <c r="A7" s="4" t="s">
        <v>309</v>
      </c>
      <c r="B7" s="4"/>
      <c r="C7" s="4" t="s">
        <v>166</v>
      </c>
      <c r="D7" s="4"/>
      <c r="E7" s="9">
        <v>1</v>
      </c>
      <c r="F7" s="11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s="4" t="s">
        <v>310</v>
      </c>
      <c r="B8" s="4"/>
      <c r="C8" s="4" t="s">
        <v>167</v>
      </c>
      <c r="D8" s="4"/>
      <c r="E8" s="5">
        <v>1</v>
      </c>
      <c r="F8" s="11" t="s">
        <v>288</v>
      </c>
      <c r="G8" s="11" t="s">
        <v>5</v>
      </c>
      <c r="H8" s="11" t="s">
        <v>9</v>
      </c>
      <c r="I8" s="11" t="s">
        <v>6</v>
      </c>
      <c r="J8">
        <v>510</v>
      </c>
    </row>
    <row r="9" spans="1:10" ht="20.25" customHeight="1" x14ac:dyDescent="0.6">
      <c r="A9" s="4" t="s">
        <v>311</v>
      </c>
      <c r="B9" s="4"/>
      <c r="C9" s="4" t="s">
        <v>168</v>
      </c>
      <c r="D9" s="4"/>
      <c r="E9" s="5">
        <v>1</v>
      </c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4" t="s">
        <v>312</v>
      </c>
      <c r="B10" s="4"/>
      <c r="C10" s="4" t="s">
        <v>172</v>
      </c>
      <c r="D10" s="4"/>
      <c r="E10" s="5">
        <v>1</v>
      </c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 t="s">
        <v>313</v>
      </c>
      <c r="B11" s="4"/>
      <c r="C11" s="4" t="s">
        <v>173</v>
      </c>
      <c r="D11" s="4"/>
      <c r="E11" s="5">
        <v>2</v>
      </c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 t="s">
        <v>314</v>
      </c>
      <c r="B12" s="4"/>
      <c r="C12" s="4" t="s">
        <v>174</v>
      </c>
      <c r="D12" s="4"/>
      <c r="E12" s="5">
        <v>2</v>
      </c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 t="s">
        <v>315</v>
      </c>
      <c r="B13" s="4"/>
      <c r="C13" s="4" t="s">
        <v>175</v>
      </c>
      <c r="D13" s="4"/>
      <c r="E13" s="5">
        <v>2</v>
      </c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 t="s">
        <v>353</v>
      </c>
      <c r="D14" s="4"/>
      <c r="E14" s="5">
        <v>1</v>
      </c>
      <c r="F14" s="11" t="s">
        <v>288</v>
      </c>
      <c r="G14" s="11" t="s">
        <v>5</v>
      </c>
      <c r="H14" s="11" t="s">
        <v>9</v>
      </c>
      <c r="I14" s="11" t="s">
        <v>6</v>
      </c>
      <c r="J14">
        <v>200</v>
      </c>
    </row>
    <row r="15" spans="1:10" ht="20.25" customHeight="1" x14ac:dyDescent="0.6">
      <c r="A15" s="4"/>
      <c r="B15" s="4"/>
      <c r="C15" s="4" t="s">
        <v>355</v>
      </c>
      <c r="D15" s="4"/>
      <c r="E15" s="5">
        <v>4</v>
      </c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 t="s">
        <v>316</v>
      </c>
      <c r="B16" s="4"/>
      <c r="C16" s="4" t="s">
        <v>178</v>
      </c>
      <c r="D16" s="4"/>
      <c r="E16" s="5">
        <v>1</v>
      </c>
      <c r="F16" s="11" t="s">
        <v>288</v>
      </c>
      <c r="G16" s="11" t="s">
        <v>5</v>
      </c>
      <c r="H16" s="11" t="s">
        <v>9</v>
      </c>
      <c r="I16" s="11" t="s">
        <v>6</v>
      </c>
      <c r="J16">
        <v>43</v>
      </c>
    </row>
    <row r="17" spans="1:10" ht="20.25" customHeight="1" x14ac:dyDescent="0.6">
      <c r="A17" s="4" t="s">
        <v>317</v>
      </c>
      <c r="B17" s="4"/>
      <c r="C17" s="4" t="s">
        <v>179</v>
      </c>
      <c r="D17" s="4"/>
      <c r="E17" s="5">
        <v>1</v>
      </c>
      <c r="F17" s="11" t="s">
        <v>288</v>
      </c>
      <c r="G17" s="11" t="s">
        <v>5</v>
      </c>
      <c r="H17" s="11" t="s">
        <v>9</v>
      </c>
      <c r="I17" s="11" t="s">
        <v>6</v>
      </c>
      <c r="J17">
        <v>42</v>
      </c>
    </row>
    <row r="18" spans="1:10" ht="20.25" customHeight="1" x14ac:dyDescent="0.6">
      <c r="A18" s="4" t="s">
        <v>318</v>
      </c>
      <c r="B18" s="4"/>
      <c r="C18" s="4" t="s">
        <v>180</v>
      </c>
      <c r="D18" s="4"/>
      <c r="E18" s="5">
        <v>1</v>
      </c>
      <c r="F18" s="11" t="s">
        <v>288</v>
      </c>
      <c r="G18" s="11" t="s">
        <v>5</v>
      </c>
      <c r="H18" s="11" t="s">
        <v>9</v>
      </c>
      <c r="I18" s="11" t="s">
        <v>6</v>
      </c>
      <c r="J18">
        <v>10</v>
      </c>
    </row>
    <row r="19" spans="1:10" ht="20.25" customHeight="1" x14ac:dyDescent="0.6">
      <c r="A19" s="4" t="s">
        <v>319</v>
      </c>
      <c r="B19" s="4"/>
      <c r="C19" s="4" t="s">
        <v>181</v>
      </c>
      <c r="D19" s="4"/>
      <c r="E19" s="5">
        <v>1</v>
      </c>
      <c r="F19" s="11" t="s">
        <v>288</v>
      </c>
      <c r="G19" s="11" t="s">
        <v>5</v>
      </c>
      <c r="H19" s="11" t="s">
        <v>9</v>
      </c>
      <c r="I19" s="11" t="s">
        <v>6</v>
      </c>
      <c r="J19">
        <v>32</v>
      </c>
    </row>
    <row r="20" spans="1:10" ht="20.25" customHeight="1" x14ac:dyDescent="0.6">
      <c r="A20" s="4" t="s">
        <v>320</v>
      </c>
      <c r="B20" s="4"/>
      <c r="C20" s="4" t="s">
        <v>182</v>
      </c>
      <c r="D20" s="4"/>
      <c r="E20" s="5">
        <v>1</v>
      </c>
      <c r="F20" s="11" t="s">
        <v>288</v>
      </c>
      <c r="G20" s="11" t="s">
        <v>5</v>
      </c>
      <c r="H20" s="11" t="s">
        <v>9</v>
      </c>
      <c r="I20" s="11" t="s">
        <v>6</v>
      </c>
      <c r="J20">
        <v>2</v>
      </c>
    </row>
    <row r="21" spans="1:10" ht="20.25" customHeight="1" x14ac:dyDescent="0.6">
      <c r="A21" s="4"/>
      <c r="B21" s="4"/>
      <c r="C21" s="4" t="s">
        <v>183</v>
      </c>
      <c r="D21" s="4"/>
      <c r="E21" s="5">
        <v>1</v>
      </c>
      <c r="F21" s="11" t="s">
        <v>288</v>
      </c>
      <c r="G21" s="11" t="s">
        <v>5</v>
      </c>
      <c r="H21" s="11" t="s">
        <v>9</v>
      </c>
      <c r="I21" s="11" t="s">
        <v>6</v>
      </c>
      <c r="J21">
        <v>5</v>
      </c>
    </row>
    <row r="22" spans="1:10" ht="20.25" customHeight="1" x14ac:dyDescent="0.6">
      <c r="A22" s="4" t="s">
        <v>323</v>
      </c>
      <c r="B22" s="4"/>
      <c r="C22" s="4" t="s">
        <v>184</v>
      </c>
      <c r="D22" s="4"/>
      <c r="E22" s="5">
        <v>1</v>
      </c>
      <c r="F22" s="11" t="s">
        <v>288</v>
      </c>
      <c r="G22" s="11" t="s">
        <v>5</v>
      </c>
      <c r="H22" s="11" t="s">
        <v>9</v>
      </c>
      <c r="I22" s="11" t="s">
        <v>6</v>
      </c>
      <c r="J22">
        <v>42</v>
      </c>
    </row>
    <row r="23" spans="1:10" ht="20.25" customHeight="1" x14ac:dyDescent="0.6">
      <c r="A23" s="4" t="s">
        <v>321</v>
      </c>
      <c r="B23" s="4"/>
      <c r="C23" s="4" t="s">
        <v>185</v>
      </c>
      <c r="D23" s="4"/>
      <c r="E23" s="5">
        <v>1</v>
      </c>
      <c r="F23" s="11" t="s">
        <v>288</v>
      </c>
      <c r="G23" s="11" t="s">
        <v>5</v>
      </c>
      <c r="H23" s="11" t="s">
        <v>9</v>
      </c>
      <c r="I23" s="11" t="s">
        <v>6</v>
      </c>
      <c r="J23">
        <v>18</v>
      </c>
    </row>
    <row r="24" spans="1:10" ht="20.25" customHeight="1" x14ac:dyDescent="0.6">
      <c r="A24" s="4" t="s">
        <v>322</v>
      </c>
      <c r="B24" s="4"/>
      <c r="C24" t="s">
        <v>186</v>
      </c>
      <c r="D24" s="4"/>
      <c r="E24" s="5">
        <v>1</v>
      </c>
      <c r="F24" s="11" t="s">
        <v>288</v>
      </c>
      <c r="G24" s="11" t="s">
        <v>5</v>
      </c>
      <c r="H24" s="11" t="s">
        <v>9</v>
      </c>
      <c r="I24" s="11" t="s">
        <v>6</v>
      </c>
      <c r="J24">
        <v>91</v>
      </c>
    </row>
    <row r="25" spans="1:10" ht="20.25" customHeight="1" x14ac:dyDescent="0.6">
      <c r="A25" s="4"/>
      <c r="B25" s="4"/>
      <c r="C25" t="s">
        <v>324</v>
      </c>
      <c r="D25" s="4"/>
      <c r="E25" s="5">
        <v>3</v>
      </c>
      <c r="F25" s="11" t="s">
        <v>288</v>
      </c>
      <c r="G25" s="11" t="s">
        <v>5</v>
      </c>
      <c r="H25" s="11" t="s">
        <v>9</v>
      </c>
      <c r="I25" s="11" t="s">
        <v>6</v>
      </c>
      <c r="J25">
        <v>5</v>
      </c>
    </row>
    <row r="26" spans="1:10" ht="20.25" customHeight="1" x14ac:dyDescent="0.6">
      <c r="C26" t="s">
        <v>354</v>
      </c>
      <c r="F26" s="11"/>
      <c r="G26" s="11"/>
      <c r="H26" s="11"/>
      <c r="I26" s="11"/>
      <c r="J26">
        <v>9</v>
      </c>
    </row>
    <row r="27" spans="1:10" ht="20.25" customHeight="1" x14ac:dyDescent="0.6">
      <c r="C27" t="s">
        <v>399</v>
      </c>
      <c r="F27" s="11"/>
      <c r="G27" s="11"/>
      <c r="H27" s="11"/>
      <c r="I27" s="11"/>
    </row>
    <row r="28" spans="1:10" ht="20.25" customHeight="1" x14ac:dyDescent="0.35"/>
    <row r="29" spans="1:10" ht="20.25" customHeight="1" thickBot="1" x14ac:dyDescent="0.65">
      <c r="A29" s="73" t="s">
        <v>3</v>
      </c>
      <c r="B29" s="74"/>
      <c r="C29" s="73"/>
      <c r="D29" s="74"/>
      <c r="E29" s="10" t="s">
        <v>10</v>
      </c>
      <c r="F29" s="75" t="s">
        <v>7</v>
      </c>
      <c r="G29" s="76"/>
      <c r="H29" s="76"/>
      <c r="I29" s="3"/>
    </row>
    <row r="30" spans="1:10" ht="20.25" customHeight="1" thickTop="1" x14ac:dyDescent="0.6">
      <c r="A30" s="81" t="s">
        <v>169</v>
      </c>
      <c r="B30" s="81"/>
      <c r="C30" s="81"/>
      <c r="D30" s="82"/>
      <c r="E30" s="5">
        <v>10</v>
      </c>
      <c r="F30" s="13" t="s">
        <v>11</v>
      </c>
      <c r="G30" s="77" t="s">
        <v>5</v>
      </c>
      <c r="H30" s="77"/>
      <c r="I30" s="14" t="s">
        <v>6</v>
      </c>
    </row>
    <row r="31" spans="1:10" ht="20.25" customHeight="1" x14ac:dyDescent="0.6">
      <c r="A31" s="83" t="s">
        <v>170</v>
      </c>
      <c r="B31" s="83"/>
      <c r="C31" s="83"/>
      <c r="D31" s="84"/>
      <c r="E31" s="5">
        <v>10</v>
      </c>
      <c r="F31" s="12" t="s">
        <v>11</v>
      </c>
      <c r="G31" s="72" t="s">
        <v>5</v>
      </c>
      <c r="H31" s="72"/>
      <c r="I31" s="11" t="s">
        <v>6</v>
      </c>
    </row>
    <row r="32" spans="1:10" ht="20.25" customHeight="1" x14ac:dyDescent="0.6">
      <c r="A32" s="83" t="s">
        <v>171</v>
      </c>
      <c r="B32" s="83"/>
      <c r="C32" s="83"/>
      <c r="D32" s="84"/>
      <c r="E32" s="5">
        <v>20</v>
      </c>
      <c r="F32" s="12" t="s">
        <v>11</v>
      </c>
      <c r="G32" s="72" t="s">
        <v>5</v>
      </c>
      <c r="H32" s="72"/>
      <c r="I32" s="11" t="s">
        <v>6</v>
      </c>
    </row>
    <row r="33" spans="1:9" ht="20.25" customHeight="1" x14ac:dyDescent="0.6">
      <c r="A33" s="83" t="s">
        <v>127</v>
      </c>
      <c r="B33" s="83"/>
      <c r="C33" s="83"/>
      <c r="D33" s="84"/>
      <c r="E33" s="5">
        <v>20</v>
      </c>
      <c r="F33" s="12" t="s">
        <v>11</v>
      </c>
      <c r="G33" s="72" t="s">
        <v>5</v>
      </c>
      <c r="H33" s="72"/>
      <c r="I33" s="11" t="s">
        <v>6</v>
      </c>
    </row>
    <row r="34" spans="1:9" ht="20.25" customHeight="1" x14ac:dyDescent="0.6">
      <c r="A34" s="83" t="s">
        <v>176</v>
      </c>
      <c r="B34" s="83"/>
      <c r="C34" s="83"/>
      <c r="D34" s="84"/>
      <c r="E34" s="5">
        <v>6</v>
      </c>
      <c r="F34" s="12" t="s">
        <v>11</v>
      </c>
      <c r="G34" s="72" t="s">
        <v>5</v>
      </c>
      <c r="H34" s="72"/>
      <c r="I34" s="11" t="s">
        <v>6</v>
      </c>
    </row>
    <row r="35" spans="1:9" ht="20.25" customHeight="1" x14ac:dyDescent="0.6">
      <c r="A35" s="83" t="s">
        <v>177</v>
      </c>
      <c r="B35" s="83"/>
      <c r="C35" s="83"/>
      <c r="D35" s="84"/>
      <c r="E35" s="5">
        <v>12</v>
      </c>
      <c r="F35" s="12" t="s">
        <v>11</v>
      </c>
      <c r="G35" s="72" t="s">
        <v>5</v>
      </c>
      <c r="H35" s="72"/>
      <c r="I35" s="11" t="s">
        <v>6</v>
      </c>
    </row>
    <row r="36" spans="1:9" ht="20.25" customHeight="1" x14ac:dyDescent="0.6">
      <c r="A36" s="83" t="s">
        <v>226</v>
      </c>
      <c r="B36" s="83"/>
      <c r="C36" s="83"/>
      <c r="D36" s="84"/>
      <c r="E36" s="5">
        <v>9</v>
      </c>
      <c r="F36" s="12" t="s">
        <v>11</v>
      </c>
      <c r="G36" s="72" t="s">
        <v>5</v>
      </c>
      <c r="H36" s="72"/>
      <c r="I36" s="11" t="s">
        <v>6</v>
      </c>
    </row>
    <row r="37" spans="1:9" ht="20.25" customHeight="1" x14ac:dyDescent="0.6">
      <c r="A37" s="83" t="s">
        <v>171</v>
      </c>
      <c r="B37" s="83"/>
      <c r="C37" s="83"/>
      <c r="D37" s="84"/>
      <c r="E37" s="5">
        <v>18</v>
      </c>
      <c r="F37" s="12" t="s">
        <v>11</v>
      </c>
      <c r="G37" s="72" t="s">
        <v>5</v>
      </c>
      <c r="H37" s="72"/>
      <c r="I37" s="11" t="s">
        <v>6</v>
      </c>
    </row>
    <row r="38" spans="1:9" ht="20.25" customHeight="1" x14ac:dyDescent="0.6">
      <c r="A38" s="83" t="s">
        <v>187</v>
      </c>
      <c r="B38" s="83"/>
      <c r="C38" s="83"/>
      <c r="D38" s="84"/>
      <c r="E38" s="5">
        <v>2</v>
      </c>
      <c r="F38" s="12" t="s">
        <v>11</v>
      </c>
      <c r="G38" s="72" t="s">
        <v>5</v>
      </c>
      <c r="H38" s="72"/>
      <c r="I38" s="11" t="s">
        <v>6</v>
      </c>
    </row>
    <row r="39" spans="1:9" ht="20.25" customHeight="1" x14ac:dyDescent="0.6">
      <c r="A39" s="83" t="s">
        <v>191</v>
      </c>
      <c r="B39" s="83"/>
      <c r="C39" s="83"/>
      <c r="D39" s="84"/>
      <c r="E39" s="5">
        <v>1</v>
      </c>
      <c r="F39" s="12" t="s">
        <v>11</v>
      </c>
      <c r="G39" s="72" t="s">
        <v>5</v>
      </c>
      <c r="H39" s="72"/>
      <c r="I39" s="11" t="s">
        <v>6</v>
      </c>
    </row>
    <row r="40" spans="1:9" ht="10.5" customHeight="1" x14ac:dyDescent="0.35"/>
    <row r="41" spans="1:9" ht="26" x14ac:dyDescent="0.6">
      <c r="A41" t="s">
        <v>12</v>
      </c>
      <c r="B41" s="11" t="s">
        <v>13</v>
      </c>
      <c r="D41" s="11" t="s">
        <v>15</v>
      </c>
      <c r="F41" s="11" t="s">
        <v>14</v>
      </c>
      <c r="G41" s="11" t="s">
        <v>16</v>
      </c>
    </row>
  </sheetData>
  <mergeCells count="25">
    <mergeCell ref="G38:H38"/>
    <mergeCell ref="G39:H39"/>
    <mergeCell ref="B1:E1"/>
    <mergeCell ref="A3:D3"/>
    <mergeCell ref="F5:H5"/>
    <mergeCell ref="A29:D29"/>
    <mergeCell ref="F29:H29"/>
    <mergeCell ref="G35:H35"/>
    <mergeCell ref="G36:H36"/>
    <mergeCell ref="G37:H37"/>
    <mergeCell ref="G30:H30"/>
    <mergeCell ref="G31:H31"/>
    <mergeCell ref="G32:H32"/>
    <mergeCell ref="G33:H33"/>
    <mergeCell ref="G34:H34"/>
    <mergeCell ref="A30:D30"/>
    <mergeCell ref="A36:D36"/>
    <mergeCell ref="A37:D37"/>
    <mergeCell ref="A38:D38"/>
    <mergeCell ref="A39:D39"/>
    <mergeCell ref="A31:D31"/>
    <mergeCell ref="A32:D32"/>
    <mergeCell ref="A33:D33"/>
    <mergeCell ref="A34:D34"/>
    <mergeCell ref="A35:D35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0070C0"/>
  </sheetPr>
  <dimension ref="A1:J34"/>
  <sheetViews>
    <sheetView showGridLines="0" view="pageLayout" zoomScaleNormal="100" workbookViewId="0">
      <selection activeCell="J8" sqref="J8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6.453125" customWidth="1"/>
    <col min="6" max="6" width="17.269531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6" x14ac:dyDescent="0.6">
      <c r="A1" s="2" t="s">
        <v>0</v>
      </c>
      <c r="B1" s="78" t="s">
        <v>140</v>
      </c>
      <c r="C1" s="78"/>
      <c r="D1" s="78"/>
      <c r="E1" s="78"/>
      <c r="F1" s="1"/>
      <c r="G1" s="3" t="s">
        <v>4</v>
      </c>
      <c r="H1">
        <f>SUM(E6:E24)</f>
        <v>12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139</v>
      </c>
      <c r="G3" t="s">
        <v>227</v>
      </c>
      <c r="H3" t="s">
        <v>229</v>
      </c>
    </row>
    <row r="4" spans="1:10" x14ac:dyDescent="0.35">
      <c r="H4">
        <f>SUM(J6:J24)</f>
        <v>4166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18" t="s">
        <v>289</v>
      </c>
    </row>
    <row r="6" spans="1:10" s="3" customFormat="1" ht="20.25" customHeight="1" thickTop="1" x14ac:dyDescent="0.6">
      <c r="A6" s="22" t="s">
        <v>188</v>
      </c>
      <c r="B6" s="22"/>
      <c r="C6" s="22"/>
      <c r="D6" s="22"/>
      <c r="E6" s="39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5">
        <v>4166</v>
      </c>
    </row>
    <row r="7" spans="1:10" ht="20.25" customHeight="1" x14ac:dyDescent="0.6">
      <c r="A7" s="35" t="s">
        <v>189</v>
      </c>
      <c r="B7" s="35"/>
      <c r="C7" s="35"/>
      <c r="D7" s="35"/>
      <c r="E7" s="40">
        <v>1</v>
      </c>
      <c r="F7" s="11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s="35" t="s">
        <v>190</v>
      </c>
      <c r="B8" s="35"/>
      <c r="C8" s="35"/>
      <c r="D8" s="35"/>
      <c r="E8" s="41">
        <v>1</v>
      </c>
      <c r="F8" s="11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s="35" t="s">
        <v>192</v>
      </c>
      <c r="B9" s="35"/>
      <c r="C9" s="35"/>
      <c r="D9" s="35"/>
      <c r="E9" s="41">
        <v>1</v>
      </c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19" t="s">
        <v>184</v>
      </c>
      <c r="B10" s="4"/>
      <c r="C10" s="4"/>
      <c r="D10" s="4"/>
      <c r="E10" s="5">
        <v>4</v>
      </c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 t="s">
        <v>325</v>
      </c>
      <c r="B11" s="4"/>
      <c r="C11" s="4"/>
      <c r="D11" s="4"/>
      <c r="E11" s="5">
        <v>4</v>
      </c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/>
      <c r="B12" s="4"/>
      <c r="C12" s="4"/>
      <c r="D12" s="4"/>
      <c r="E12" s="5"/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/>
      <c r="B13" s="4"/>
      <c r="C13" s="4"/>
      <c r="D13" s="4"/>
      <c r="E13" s="5"/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/>
      <c r="D14" s="4"/>
      <c r="E14" s="5"/>
      <c r="F14" s="11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s="4"/>
      <c r="B15" s="4"/>
      <c r="C15" s="4"/>
      <c r="D15" s="4"/>
      <c r="E15" s="5"/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/>
      <c r="B16" s="4"/>
      <c r="C16" s="4"/>
      <c r="D16" s="4"/>
      <c r="E16" s="5"/>
      <c r="F16" s="11" t="s">
        <v>288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1" t="s">
        <v>288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1" t="s">
        <v>288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1" t="s">
        <v>288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1" t="s">
        <v>288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1" t="s">
        <v>288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1" t="s">
        <v>288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1" t="s">
        <v>288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1" t="s">
        <v>288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73" t="s">
        <v>3</v>
      </c>
      <c r="B26" s="74"/>
      <c r="C26" s="73"/>
      <c r="D26" s="74"/>
      <c r="E26" s="10" t="s">
        <v>10</v>
      </c>
      <c r="F26" s="75" t="s">
        <v>7</v>
      </c>
      <c r="G26" s="76"/>
      <c r="H26" s="76"/>
      <c r="I26" s="3"/>
    </row>
    <row r="27" spans="1:9" ht="20.25" customHeight="1" thickTop="1" x14ac:dyDescent="0.6">
      <c r="A27" s="20" t="s">
        <v>326</v>
      </c>
      <c r="B27" s="15"/>
      <c r="C27" s="15"/>
      <c r="D27" s="16"/>
      <c r="E27" s="8">
        <v>8</v>
      </c>
      <c r="F27" s="14" t="s">
        <v>288</v>
      </c>
      <c r="G27" s="77" t="s">
        <v>5</v>
      </c>
      <c r="H27" s="77"/>
      <c r="I27" s="14" t="s">
        <v>6</v>
      </c>
    </row>
    <row r="28" spans="1:9" ht="20.25" customHeight="1" x14ac:dyDescent="0.6">
      <c r="A28" s="21"/>
      <c r="B28" s="8"/>
      <c r="C28" s="8"/>
      <c r="D28" s="17"/>
      <c r="E28" s="8"/>
      <c r="F28" s="11" t="s">
        <v>288</v>
      </c>
      <c r="G28" s="72" t="s">
        <v>5</v>
      </c>
      <c r="H28" s="72"/>
      <c r="I28" s="11" t="s">
        <v>6</v>
      </c>
    </row>
    <row r="29" spans="1:9" ht="20.25" customHeight="1" x14ac:dyDescent="0.6">
      <c r="A29" s="8"/>
      <c r="B29" s="8"/>
      <c r="C29" s="8"/>
      <c r="D29" s="17"/>
      <c r="E29" s="8"/>
      <c r="F29" s="11" t="s">
        <v>288</v>
      </c>
      <c r="G29" s="72" t="s">
        <v>5</v>
      </c>
      <c r="H29" s="72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1" t="s">
        <v>288</v>
      </c>
      <c r="G30" s="72" t="s">
        <v>5</v>
      </c>
      <c r="H30" s="72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1" t="s">
        <v>288</v>
      </c>
      <c r="G31" s="72" t="s">
        <v>5</v>
      </c>
      <c r="H31" s="72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1" t="s">
        <v>288</v>
      </c>
      <c r="G32" s="72" t="s">
        <v>5</v>
      </c>
      <c r="H32" s="72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1">
    <mergeCell ref="G32:H32"/>
    <mergeCell ref="B1:E1"/>
    <mergeCell ref="A3:D3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B4B5-D9DA-4700-93D9-2DB287AE73C0}">
  <sheetPr codeName="Feuil19">
    <tabColor rgb="FF0070C0"/>
  </sheetPr>
  <dimension ref="A1:J34"/>
  <sheetViews>
    <sheetView showGridLines="0" view="pageLayout" zoomScaleNormal="100" workbookViewId="0">
      <selection activeCell="I5" sqref="I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6.453125" customWidth="1"/>
    <col min="6" max="6" width="17.269531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6" x14ac:dyDescent="0.6">
      <c r="A1" s="2" t="s">
        <v>0</v>
      </c>
      <c r="B1" s="78" t="s">
        <v>409</v>
      </c>
      <c r="C1" s="78"/>
      <c r="D1" s="78"/>
      <c r="E1" s="78"/>
      <c r="F1" s="1"/>
      <c r="G1" s="3" t="s">
        <v>4</v>
      </c>
      <c r="H1">
        <f>SUM(E6:E24)</f>
        <v>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9" t="s">
        <v>1</v>
      </c>
      <c r="B3" s="79"/>
      <c r="C3" s="80"/>
      <c r="D3" s="80"/>
      <c r="E3" s="18" t="s">
        <v>389</v>
      </c>
      <c r="G3" t="s">
        <v>227</v>
      </c>
      <c r="H3" t="s">
        <v>229</v>
      </c>
    </row>
    <row r="4" spans="1:10" x14ac:dyDescent="0.35">
      <c r="G4" t="s">
        <v>289</v>
      </c>
      <c r="H4">
        <f>SUM(J6:J24)</f>
        <v>2837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5" t="s">
        <v>7</v>
      </c>
      <c r="G5" s="76"/>
      <c r="H5" s="76"/>
      <c r="J5" s="18" t="s">
        <v>289</v>
      </c>
    </row>
    <row r="6" spans="1:10" s="3" customFormat="1" ht="20.25" customHeight="1" thickTop="1" x14ac:dyDescent="0.6">
      <c r="A6" s="22"/>
      <c r="B6" s="22"/>
      <c r="C6" s="22" t="s">
        <v>410</v>
      </c>
      <c r="D6" s="22"/>
      <c r="E6" s="39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5">
        <v>1753</v>
      </c>
    </row>
    <row r="7" spans="1:10" ht="20.25" customHeight="1" x14ac:dyDescent="0.6">
      <c r="A7" s="35"/>
      <c r="B7" s="35"/>
      <c r="C7" s="35" t="s">
        <v>411</v>
      </c>
      <c r="D7" s="35"/>
      <c r="E7" s="40">
        <v>1</v>
      </c>
      <c r="F7" s="11" t="s">
        <v>288</v>
      </c>
      <c r="G7" s="11" t="s">
        <v>5</v>
      </c>
      <c r="H7" s="11" t="s">
        <v>9</v>
      </c>
      <c r="I7" s="11" t="s">
        <v>6</v>
      </c>
      <c r="J7">
        <v>1084</v>
      </c>
    </row>
    <row r="8" spans="1:10" ht="20.25" customHeight="1" x14ac:dyDescent="0.6">
      <c r="A8" s="35"/>
      <c r="B8" s="35"/>
      <c r="C8" s="35" t="s">
        <v>412</v>
      </c>
      <c r="D8" s="35"/>
      <c r="E8" s="41"/>
      <c r="F8" s="11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s="35"/>
      <c r="B9" s="35"/>
      <c r="C9" s="35" t="s">
        <v>416</v>
      </c>
      <c r="D9" s="35"/>
      <c r="E9" s="41"/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19"/>
      <c r="B10" s="4"/>
      <c r="C10" s="4"/>
      <c r="D10" s="4"/>
      <c r="E10" s="5"/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/>
      <c r="B11" s="4"/>
      <c r="C11" s="4"/>
      <c r="D11" s="4"/>
      <c r="E11" s="5"/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/>
      <c r="B12" s="4"/>
      <c r="C12" s="4"/>
      <c r="D12" s="4"/>
      <c r="E12" s="5"/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/>
      <c r="B13" s="4"/>
      <c r="C13" s="4"/>
      <c r="D13" s="4"/>
      <c r="E13" s="5"/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/>
      <c r="D14" s="4"/>
      <c r="E14" s="5"/>
      <c r="F14" s="11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s="4"/>
      <c r="B15" s="4"/>
      <c r="C15" s="4"/>
      <c r="D15" s="4"/>
      <c r="E15" s="5"/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/>
      <c r="B16" s="4"/>
      <c r="C16" s="4"/>
      <c r="D16" s="4"/>
      <c r="E16" s="5"/>
      <c r="F16" s="11" t="s">
        <v>288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1" t="s">
        <v>288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1" t="s">
        <v>288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1" t="s">
        <v>288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1" t="s">
        <v>288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1" t="s">
        <v>288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1" t="s">
        <v>288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1" t="s">
        <v>288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1" t="s">
        <v>288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73" t="s">
        <v>413</v>
      </c>
      <c r="B26" s="74"/>
      <c r="C26" s="73"/>
      <c r="D26" s="74"/>
      <c r="E26" s="10" t="s">
        <v>10</v>
      </c>
      <c r="F26" s="75" t="s">
        <v>7</v>
      </c>
      <c r="G26" s="76"/>
      <c r="H26" s="76"/>
      <c r="I26" s="3"/>
    </row>
    <row r="27" spans="1:9" ht="20.25" customHeight="1" thickTop="1" x14ac:dyDescent="0.6">
      <c r="A27" s="22" t="s">
        <v>414</v>
      </c>
      <c r="B27" s="15"/>
      <c r="C27" s="15"/>
      <c r="D27" s="16"/>
      <c r="E27" s="8"/>
      <c r="F27" s="14" t="s">
        <v>288</v>
      </c>
      <c r="G27" s="77" t="s">
        <v>5</v>
      </c>
      <c r="H27" s="77"/>
      <c r="I27" s="14" t="s">
        <v>6</v>
      </c>
    </row>
    <row r="28" spans="1:9" ht="20.25" customHeight="1" x14ac:dyDescent="0.6">
      <c r="A28" s="23" t="s">
        <v>415</v>
      </c>
      <c r="B28" s="8"/>
      <c r="C28" s="8"/>
      <c r="D28" s="17"/>
      <c r="E28" s="37">
        <v>6</v>
      </c>
      <c r="F28" s="11" t="s">
        <v>288</v>
      </c>
      <c r="G28" s="72" t="s">
        <v>5</v>
      </c>
      <c r="H28" s="72"/>
      <c r="I28" s="11" t="s">
        <v>6</v>
      </c>
    </row>
    <row r="29" spans="1:9" ht="20.25" customHeight="1" x14ac:dyDescent="0.6">
      <c r="A29" s="23" t="s">
        <v>37</v>
      </c>
      <c r="B29" s="8"/>
      <c r="C29" s="8"/>
      <c r="D29" s="17"/>
      <c r="E29" s="37">
        <v>6</v>
      </c>
      <c r="F29" s="11" t="s">
        <v>288</v>
      </c>
      <c r="G29" s="72" t="s">
        <v>5</v>
      </c>
      <c r="H29" s="72"/>
      <c r="I29" s="11" t="s">
        <v>6</v>
      </c>
    </row>
    <row r="30" spans="1:9" ht="20.25" customHeight="1" x14ac:dyDescent="0.6">
      <c r="A30" s="23" t="s">
        <v>177</v>
      </c>
      <c r="B30" s="8"/>
      <c r="C30" s="8"/>
      <c r="D30" s="17"/>
      <c r="E30" s="37">
        <v>12</v>
      </c>
      <c r="F30" s="11" t="s">
        <v>288</v>
      </c>
      <c r="G30" s="72" t="s">
        <v>5</v>
      </c>
      <c r="H30" s="72"/>
      <c r="I30" s="11" t="s">
        <v>6</v>
      </c>
    </row>
    <row r="31" spans="1:9" ht="20.25" customHeight="1" x14ac:dyDescent="0.6">
      <c r="A31" s="8"/>
      <c r="B31" s="8"/>
      <c r="C31" s="8"/>
      <c r="D31" s="17"/>
      <c r="E31" s="37"/>
      <c r="F31" s="11" t="s">
        <v>288</v>
      </c>
      <c r="G31" s="72" t="s">
        <v>5</v>
      </c>
      <c r="H31" s="72"/>
      <c r="I31" s="11" t="s">
        <v>6</v>
      </c>
    </row>
    <row r="32" spans="1:9" ht="20.25" customHeight="1" x14ac:dyDescent="0.6">
      <c r="A32" s="8"/>
      <c r="B32" s="8"/>
      <c r="C32" s="8"/>
      <c r="D32" s="17"/>
      <c r="E32" s="37"/>
      <c r="F32" s="11" t="s">
        <v>288</v>
      </c>
      <c r="G32" s="72" t="s">
        <v>5</v>
      </c>
      <c r="H32" s="72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1">
    <mergeCell ref="G28:H28"/>
    <mergeCell ref="G29:H29"/>
    <mergeCell ref="G30:H30"/>
    <mergeCell ref="G31:H31"/>
    <mergeCell ref="G32:H32"/>
    <mergeCell ref="G27:H27"/>
    <mergeCell ref="B1:E1"/>
    <mergeCell ref="A3:D3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Statistique_Kit</vt:lpstr>
      <vt:lpstr>Kit_Montage_Template</vt:lpstr>
      <vt:lpstr>Kit_Montage_Template (2)</vt:lpstr>
      <vt:lpstr>Kit_Chassis</vt:lpstr>
      <vt:lpstr>Kit_Carrosserie</vt:lpstr>
      <vt:lpstr>Kit_Ergonomie</vt:lpstr>
      <vt:lpstr>Kit_Suspension</vt:lpstr>
      <vt:lpstr>Kit_Pédalier</vt:lpstr>
      <vt:lpstr>Kit_Direction</vt:lpstr>
      <vt:lpstr>Kit_Roues équipées</vt:lpstr>
      <vt:lpstr>Kit_Triangles</vt:lpstr>
      <vt:lpstr>Kit_BAR</vt:lpstr>
      <vt:lpstr>Kit_Freinage</vt:lpstr>
      <vt:lpstr>Kit__Moteur</vt:lpstr>
      <vt:lpstr>Kit__Transm_Sec</vt:lpstr>
      <vt:lpstr>Kit_CircuitCarburant</vt:lpstr>
      <vt:lpstr>Kit_Admission</vt:lpstr>
      <vt:lpstr>Kit_Echappement</vt:lpstr>
      <vt:lpstr>Kit_Cooling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2019-04-02T19:53:24Z</dcterms:modified>
</cp:coreProperties>
</file>