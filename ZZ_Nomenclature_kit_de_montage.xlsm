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\Desktop\STUF2019\"/>
    </mc:Choice>
  </mc:AlternateContent>
  <xr:revisionPtr revIDLastSave="0" documentId="13_ncr:1_{4814DA4A-6F1C-414A-AD4B-F3AEA4BFA40E}" xr6:coauthVersionLast="40" xr6:coauthVersionMax="40" xr10:uidLastSave="{00000000-0000-0000-0000-000000000000}"/>
  <bookViews>
    <workbookView xWindow="-110" yWindow="-110" windowWidth="19420" windowHeight="10420" tabRatio="741" activeTab="3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_Transm_Sec" sheetId="19" r:id="rId4"/>
    <sheet name="Kit_Pédalier" sheetId="16" r:id="rId5"/>
    <sheet name="Kit_Carrosserie" sheetId="3" r:id="rId6"/>
    <sheet name="Kit_Direction" sheetId="4" r:id="rId7"/>
    <sheet name="Kit_Roue équipée_AR" sheetId="5" r:id="rId8"/>
    <sheet name="Kit_Roue équipée_AV" sheetId="20" r:id="rId9"/>
    <sheet name="Kit_Triangles" sheetId="6" r:id="rId10"/>
    <sheet name="Kit_BAR" sheetId="7" r:id="rId11"/>
    <sheet name="Kit_Freinage" sheetId="8" r:id="rId12"/>
    <sheet name="Kit_CircuitCarburant" sheetId="9" r:id="rId13"/>
    <sheet name="Kit_Admission" sheetId="11" r:id="rId14"/>
    <sheet name="Kit_Echappement" sheetId="12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5" l="1"/>
  <c r="H1" i="20"/>
  <c r="H1" i="19" l="1"/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 s="1"/>
  <c r="C9" i="10" s="1"/>
  <c r="C8" i="10" l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<sst xmlns="http://schemas.openxmlformats.org/spreadsheetml/2006/main" count="1944" uniqueCount="270">
  <si>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</si>
  <si>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</si>
  <si>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</si>
  <si>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</si>
  <si>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</si>
  <si>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</si>
  <si>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</si>
  <si>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</si>
  <si>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</si>
  <si>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</si>
  <si>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</si>
  <si>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</si>
  <si>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</si>
  <si>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</si>
  <si>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</si>
  <si>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</si>
  <si>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</si>
  <si>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</si>
  <si>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</si>
  <si>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</si>
  <si>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</si>
  <si>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</si>
  <si>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</si>
  <si>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</si>
  <si>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</si>
  <si>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</si>
  <si>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</si>
  <si>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</si>
  <si>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</si>
  <si>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</si>
  <si>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</si>
  <si>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</si>
  <si>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</si>
  <si>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</si>
  <si>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</si>
  <si>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</si>
  <si>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</si>
  <si>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</si>
  <si>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</si>
  <si>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</si>
  <si>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</si>
  <si>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</si>
  <si>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</si>
  <si>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</si>
  <si>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</si>
  <si>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</si>
  <si>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</si>
  <si>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</si>
  <si>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</si>
  <si>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</si>
  <si>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</si>
  <si>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</si>
  <si>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</si>
  <si>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</si>
  <si>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</si>
  <si>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</si>
  <si>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</si>
  <si>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</si>
  <si>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</si>
  <si>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</si>
  <si>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</si>
  <si>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</si>
  <si>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</si>
  <si>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</si>
  <si>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</si>
  <si>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</si>
  <si>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</si>
  <si>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</si>
  <si>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</si>
  <si>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</si>
  <si>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</si>
  <si>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</si>
  <si>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</si>
  <si>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</si>
  <si>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</si>
  <si>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</si>
  <si>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</si>
  <si>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</si>
  <si>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</si>
  <si>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</si>
  <si>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</si>
  <si>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</si>
  <si>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</si>
  <si>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</si>
  <si>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</si>
  <si>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</si>
  <si>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</si>
  <si>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</si>
  <si>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</si>
  <si>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</si>
  <si>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</si>
  <si>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</si>
  <si>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</si>
  <si>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</si>
  <si>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</si>
  <si>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</si>
  <si>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</si>
  <si>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</si>
  <si>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</si>
  <si>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</si>
  <si>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</si>
  <si>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</si>
  <si>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</si>
  <si>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</si>
  <si>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</si>
  <si>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</si>
  <si>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</si>
  <si>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</si>
  <si>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</si>
  <si>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</si>
  <si>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</si>
  <si>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</si>
  <si>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</si>
  <si>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</si>
  <si>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</si>
  <si>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</si>
  <si>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</si>
  <si>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</si>
  <si>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</si>
  <si>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</si>
  <si>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</si>
  <si>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</si>
  <si>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</si>
  <si>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</si>
  <si>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</si>
  <si>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</si>
  <si>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</si>
  <si>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</si>
  <si>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</si>
  <si>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</si>
  <si>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</si>
  <si>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</si>
  <si>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</si>
  <si>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</si>
  <si>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</si>
  <si>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</si>
  <si>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</si>
  <si>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</si>
  <si>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</si>
  <si>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</si>
  <si>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</si>
  <si>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</si>
  <si>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</si>
  <si>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</si>
  <si>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</si>
  <si>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</si>
  <si>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</si>
  <si>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</si>
  <si>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</si>
  <si>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</si>
  <si>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</si>
  <si>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</si>
  <si>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</si>
  <si>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</si>
  <si>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</si>
  <si>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</si>
  <si>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</si>
  <si>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</si>
  <si>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</si>
  <si>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</si>
  <si>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</si>
  <si>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</si>
  <si>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</si>
  <si>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</si>
  <si>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</si>
  <si>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</si>
  <si>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</si>
  <si>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</si>
  <si>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</si>
  <si>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</si>
  <si>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</si>
  <si>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</si>
  <si>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</si>
  <si>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</si>
  <si>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</si>
  <si>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</si>
  <si>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</si>
  <si>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</si>
  <si>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</si>
  <si>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</si>
  <si>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</si>
  <si>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</si>
  <si>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</si>
  <si>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</si>
  <si>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</si>
  <si>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</si>
  <si>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</si>
  <si>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</si>
  <si>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</si>
  <si>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</si>
  <si>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</si>
  <si>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</si>
  <si>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</si>
  <si>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</si>
  <si>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</si>
  <si>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</si>
  <si>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</si>
  <si>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</si>
  <si>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</si>
  <si>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</si>
  <si>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</si>
  <si>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</si>
  <si>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</si>
  <si>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</si>
  <si>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</si>
  <si>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</si>
  <si>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</si>
  <si>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</si>
  <si>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</si>
  <si>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</si>
  <si>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</si>
  <si>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</si>
  <si>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</si>
  <si>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</si>
  <si>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</si>
  <si>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</si>
  <si>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</si>
  <si>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</si>
  <si>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</si>
  <si>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</si>
  <si>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</si>
  <si>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</si>
  <si>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</si>
  <si>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</si>
  <si>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</si>
  <si>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Excentrique gauche</t>
  </si>
  <si>
    <t>Excentrique droit</t>
  </si>
  <si>
    <t>Porte excentrique gauche</t>
  </si>
  <si>
    <t>Porte excentrique droit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</si>
  <si>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</si>
  <si>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</si>
  <si>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</si>
  <si>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</si>
  <si>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</si>
  <si>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</si>
  <si>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</si>
  <si>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</si>
  <si>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</si>
  <si>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Tripod housing</t>
  </si>
  <si>
    <t>Jacking bar</t>
  </si>
  <si>
    <t>SU_1000_001 (Front Left Upright)</t>
  </si>
  <si>
    <t>WT_0200_001 (Front Hub)</t>
  </si>
  <si>
    <t>BR_0100_001_MM (Brake Caliper)</t>
  </si>
  <si>
    <t>BR_0200_001 (Break Disc)</t>
  </si>
  <si>
    <t>SU_10003 (Upper Arm Wedge)</t>
  </si>
  <si>
    <t>S71910 ACD/P4A_PART1-S71910 ACD</t>
  </si>
  <si>
    <t>WT_02003 (Front Bearing Washer)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</si>
  <si>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</si>
  <si>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</si>
  <si>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</si>
  <si>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</si>
  <si>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</si>
  <si>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</si>
  <si>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</si>
  <si>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?</t>
  </si>
  <si>
    <t>Brake Bell</t>
  </si>
  <si>
    <t>Tripod</t>
  </si>
  <si>
    <t>Chape jacking bar</t>
  </si>
  <si>
    <t>Douille à aiguille</t>
  </si>
  <si>
    <t>Joint à lèvre</t>
  </si>
  <si>
    <t>Circlip</t>
  </si>
  <si>
    <t>Protection tripod</t>
  </si>
  <si>
    <t>Ecrou Nylstop M10</t>
  </si>
  <si>
    <t>Rondelles M10</t>
  </si>
  <si>
    <t>Vis DIN 933  M10*35</t>
  </si>
  <si>
    <t>Vis Chc M8*20</t>
  </si>
  <si>
    <t>Rondelles M8</t>
  </si>
  <si>
    <t>Vis Chc M8*35</t>
  </si>
  <si>
    <t>Chainshield / Jacking bar</t>
  </si>
  <si>
    <t>Ecrou Nylstop M8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</si>
</sst>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0" applyBorder="1"/>
    <xf numFmtId="0" fontId="0" fillId="0" borderId="0" xfId="0" applyAlignment="1">
      <alignment horizontal="center"/>
    </xf>
    <xf numFmtId="0" fontId="13" fillId="0" borderId="0" xfId="0" applyFont="1" applyAlignment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14" fillId="0" borderId="3" xfId="0" applyFont="1" applyBorder="1" applyAlignment="1"/>
    <xf numFmtId="0" fontId="0" fillId="0" borderId="3" xfId="0" applyFont="1" applyBorder="1" applyAlignment="1"/>
    <xf numFmtId="0" fontId="0" fillId="0" borderId="16" xfId="0" applyFont="1" applyBorder="1" applyAlignment="1"/>
    <xf numFmtId="0" fontId="0" fillId="0" borderId="3" xfId="0" applyBorder="1"/>
    <xf numFmtId="0" fontId="0" fillId="0" borderId="16" xfId="0" applyBorder="1"/>
    <xf numFmtId="0" fontId="14" fillId="0" borderId="16" xfId="0" applyFont="1" applyBorder="1" applyAlignment="1"/>
    <xf numFmtId="0" fontId="0" fillId="0" borderId="12" xfId="0" applyFont="1" applyBorder="1" applyAlignment="1"/>
    <xf numFmtId="0" fontId="0" fillId="0" borderId="13" xfId="0" applyFont="1" applyBorder="1" applyAlignment="1"/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3" xfId="0" applyFont="1" applyBorder="1"/>
    <xf numFmtId="0" fontId="0" fillId="0" borderId="16" xfId="0" applyFont="1" applyBorder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2" fillId="0" borderId="3" xfId="0" applyFont="1" applyBorder="1" applyAlignment="1"/>
    <xf numFmtId="0" fontId="2" fillId="0" borderId="16" xfId="0" applyFont="1" applyBorder="1" applyAlignment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21536"/>
        <c:axId val="-1347027520"/>
      </c:barChart>
      <c:catAx>
        <c:axId val="-134702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27520"/>
        <c:crosses val="autoZero"/>
        <c:auto val="1"/>
        <c:lblAlgn val="ctr"/>
        <c:lblOffset val="100"/>
        <c:noMultiLvlLbl val="0"/>
      </c:catAx>
      <c:valAx>
        <c:axId val="-134702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équipée_AR'!$H$2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34048"/>
        <c:axId val="-1347028064"/>
      </c:barChart>
      <c:catAx>
        <c:axId val="-134703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28064"/>
        <c:crosses val="autoZero"/>
        <c:auto val="1"/>
        <c:lblAlgn val="ctr"/>
        <c:lblOffset val="100"/>
        <c:noMultiLvlLbl val="0"/>
      </c:catAx>
      <c:valAx>
        <c:axId val="-13470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34703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topLeftCell="A3" zoomScaleNormal="100" workbookViewId="0">
      <selection activeCell="D11" sqref="D11"/>
    </sheetView>
  </sheetViews>
  <sheetFormatPr baseColWidth="10" defaultColWidth="10.81640625" defaultRowHeight="14.5" x14ac:dyDescent="0.35"/>
  <cols>
    <col min="1" max="1" width="20.81640625" customWidth="1"/>
    <col min="2" max="2" width="26" customWidth="1"/>
    <col min="4" max="4" width="8.81640625" customWidth="1"/>
    <col min="7" max="7" width="16.453125" customWidth="1"/>
  </cols>
  <sheetData>
    <row r="2" spans="1:5" x14ac:dyDescent="0.35">
      <c r="A2" s="35" t="s">
        <v>160</v>
      </c>
      <c r="B2" s="45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5">
      <c r="A8" s="38" t="str">
        <f>'Kit_Roue équipée_AR'!B1</f>
        <v>roues equipées arrières</v>
      </c>
      <c r="B8" s="36" t="str">
        <f>'Kit_Roue équipée_AR'!E3</f>
        <v>SCHIO michele</v>
      </c>
      <c r="C8" s="36">
        <f>'Kit_Roue équipée_AR'!H1</f>
        <v>71</v>
      </c>
      <c r="D8" s="36" t="str">
        <f>'Kit_Roue équipée_AR'!H2</f>
        <v>?</v>
      </c>
      <c r="E8" s="46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4</v>
      </c>
      <c r="D14" s="36">
        <f>Kit_Echappement!H2</f>
        <v>0</v>
      </c>
      <c r="E14" s="46"/>
    </row>
    <row r="15" spans="1:5" x14ac:dyDescent="0.35">
      <c r="A15" s="48" t="s">
        <v>172</v>
      </c>
      <c r="B15" s="36" t="s">
        <v>175</v>
      </c>
      <c r="C15" s="36"/>
      <c r="D15" s="36"/>
      <c r="E15" s="46"/>
    </row>
    <row r="16" spans="1:5" x14ac:dyDescent="0.35">
      <c r="A16" s="48" t="s">
        <v>174</v>
      </c>
      <c r="B16" s="36" t="s">
        <v>175</v>
      </c>
      <c r="C16" s="36"/>
      <c r="D16" s="36"/>
      <c r="E16" s="46"/>
    </row>
    <row r="17" spans="1:5" x14ac:dyDescent="0.35">
      <c r="A17" s="48" t="s">
        <v>173</v>
      </c>
      <c r="B17" s="36" t="s">
        <v>175</v>
      </c>
      <c r="C17" s="36"/>
      <c r="D17" s="36"/>
      <c r="E17" s="46"/>
    </row>
    <row r="18" spans="1:5" x14ac:dyDescent="0.35">
      <c r="B18" s="37" t="s">
        <v>171</v>
      </c>
      <c r="C18" s="36">
        <f>SUM(C5:C17)</f>
        <v>381</v>
      </c>
      <c r="D18" s="36">
        <f>SUM(D5:D17)</f>
        <v>801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/>
      <c r="C1" s="68"/>
      <c r="D1" s="68"/>
      <c r="E1" s="68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69" t="s">
        <v>1</v>
      </c>
      <c r="B3" s="69"/>
      <c r="C3" s="70"/>
      <c r="D3" s="70"/>
      <c r="E3" s="20"/>
    </row>
    <row r="5" spans="1:9" s="3" customFormat="1" ht="49.5" customHeight="1" thickBot="1" x14ac:dyDescent="0.65">
      <c r="A5" s="71" t="s">
        <v>2</v>
      </c>
      <c r="B5" s="71"/>
      <c r="C5" s="71"/>
      <c r="D5" s="72"/>
      <c r="E5" s="9" t="s">
        <v>10</v>
      </c>
      <c r="F5" s="73" t="s">
        <v>7</v>
      </c>
      <c r="G5" s="74"/>
      <c r="H5" s="74"/>
    </row>
    <row r="6" spans="1:9" s="3" customFormat="1" ht="20.149999999999999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.149999999999999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.149999999999999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.149999999999999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.149999999999999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.149999999999999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.149999999999999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.149999999999999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.149999999999999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.149999999999999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.149999999999999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.149999999999999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.149999999999999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.149999999999999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.149999999999999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.149999999999999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.149999999999999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.149999999999999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.149999999999999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71" t="s">
        <v>3</v>
      </c>
      <c r="B27" s="72"/>
      <c r="C27" s="71"/>
      <c r="D27" s="72"/>
      <c r="E27" s="12" t="s">
        <v>10</v>
      </c>
      <c r="F27" s="73" t="s">
        <v>7</v>
      </c>
      <c r="G27" s="74"/>
      <c r="H27" s="74"/>
      <c r="I27" s="3"/>
    </row>
    <row r="28" spans="1:9" ht="20.149999999999999" customHeight="1" thickTop="1" x14ac:dyDescent="0.6">
      <c r="A28" s="22"/>
      <c r="B28" s="17"/>
      <c r="C28" s="17"/>
      <c r="D28" s="18"/>
      <c r="E28" s="10"/>
      <c r="F28" s="15" t="s">
        <v>11</v>
      </c>
      <c r="G28" s="76" t="s">
        <v>5</v>
      </c>
      <c r="H28" s="76"/>
      <c r="I28" s="16" t="s">
        <v>6</v>
      </c>
    </row>
    <row r="29" spans="1:9" ht="20.149999999999999" customHeight="1" x14ac:dyDescent="0.6">
      <c r="A29" s="23"/>
      <c r="B29" s="10"/>
      <c r="C29" s="10"/>
      <c r="D29" s="19"/>
      <c r="E29" s="10"/>
      <c r="F29" s="14" t="s">
        <v>11</v>
      </c>
      <c r="G29" s="75" t="s">
        <v>5</v>
      </c>
      <c r="H29" s="75"/>
      <c r="I29" s="13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75" t="s">
        <v>5</v>
      </c>
      <c r="H30" s="75"/>
      <c r="I30" s="13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75" t="s">
        <v>5</v>
      </c>
      <c r="H31" s="75"/>
      <c r="I31" s="13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75" t="s">
        <v>5</v>
      </c>
      <c r="H32" s="75"/>
      <c r="I32" s="13" t="s">
        <v>6</v>
      </c>
    </row>
    <row r="33" spans="1:9" ht="20.149999999999999" customHeight="1" x14ac:dyDescent="0.6">
      <c r="A33" s="10"/>
      <c r="B33" s="10"/>
      <c r="C33" s="10"/>
      <c r="D33" s="19"/>
      <c r="E33" s="10"/>
      <c r="F33" s="14" t="s">
        <v>11</v>
      </c>
      <c r="G33" s="75" t="s">
        <v>5</v>
      </c>
      <c r="H33" s="75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/>
      <c r="C1" s="68"/>
      <c r="D1" s="68"/>
      <c r="E1" s="68"/>
      <c r="F1" s="44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69" t="s">
        <v>1</v>
      </c>
      <c r="B3" s="69"/>
      <c r="C3" s="70"/>
      <c r="D3" s="70"/>
      <c r="E3" s="20"/>
    </row>
    <row r="5" spans="1:9" s="3" customFormat="1" ht="49.5" customHeight="1" thickBot="1" x14ac:dyDescent="0.65">
      <c r="A5" s="71" t="s">
        <v>2</v>
      </c>
      <c r="B5" s="71"/>
      <c r="C5" s="71"/>
      <c r="D5" s="72"/>
      <c r="E5" s="42" t="s">
        <v>10</v>
      </c>
      <c r="F5" s="73" t="s">
        <v>7</v>
      </c>
      <c r="G5" s="74"/>
      <c r="H5" s="74"/>
    </row>
    <row r="6" spans="1:9" s="3" customFormat="1" ht="20.149999999999999" customHeight="1" thickTop="1" x14ac:dyDescent="0.6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.149999999999999" customHeight="1" x14ac:dyDescent="0.6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.149999999999999" customHeight="1" x14ac:dyDescent="0.6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.149999999999999" customHeight="1" x14ac:dyDescent="0.6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.149999999999999" customHeight="1" x14ac:dyDescent="0.6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.149999999999999" customHeight="1" x14ac:dyDescent="0.6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.149999999999999" customHeight="1" x14ac:dyDescent="0.6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.149999999999999" customHeight="1" x14ac:dyDescent="0.6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.149999999999999" customHeight="1" x14ac:dyDescent="0.6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.149999999999999" customHeight="1" x14ac:dyDescent="0.6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.149999999999999" customHeight="1" x14ac:dyDescent="0.6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.149999999999999" customHeight="1" x14ac:dyDescent="0.6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.149999999999999" customHeight="1" x14ac:dyDescent="0.6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.149999999999999" customHeight="1" x14ac:dyDescent="0.6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.149999999999999" customHeight="1" x14ac:dyDescent="0.6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.149999999999999" customHeight="1" x14ac:dyDescent="0.6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.149999999999999" customHeight="1" x14ac:dyDescent="0.6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.149999999999999" customHeight="1" x14ac:dyDescent="0.6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.149999999999999" customHeight="1" x14ac:dyDescent="0.6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.149999999999999" customHeight="1" x14ac:dyDescent="0.6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71" t="s">
        <v>3</v>
      </c>
      <c r="B27" s="72"/>
      <c r="C27" s="71"/>
      <c r="D27" s="72"/>
      <c r="E27" s="12" t="s">
        <v>10</v>
      </c>
      <c r="F27" s="73" t="s">
        <v>7</v>
      </c>
      <c r="G27" s="74"/>
      <c r="H27" s="74"/>
      <c r="I27" s="3"/>
    </row>
    <row r="28" spans="1:9" ht="20.149999999999999" customHeight="1" thickTop="1" x14ac:dyDescent="0.6">
      <c r="A28" s="49"/>
      <c r="B28" s="17"/>
      <c r="C28" s="17"/>
      <c r="D28" s="18"/>
      <c r="E28" s="10"/>
      <c r="F28" s="15" t="s">
        <v>11</v>
      </c>
      <c r="G28" s="76" t="s">
        <v>5</v>
      </c>
      <c r="H28" s="76"/>
      <c r="I28" s="43" t="s">
        <v>6</v>
      </c>
    </row>
    <row r="29" spans="1:9" ht="20.149999999999999" customHeight="1" x14ac:dyDescent="0.6">
      <c r="A29" s="23"/>
      <c r="B29" s="10"/>
      <c r="C29" s="10"/>
      <c r="D29" s="19"/>
      <c r="E29" s="10"/>
      <c r="F29" s="14" t="s">
        <v>11</v>
      </c>
      <c r="G29" s="75" t="s">
        <v>5</v>
      </c>
      <c r="H29" s="75"/>
      <c r="I29" s="41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75" t="s">
        <v>5</v>
      </c>
      <c r="H30" s="75"/>
      <c r="I30" s="41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75" t="s">
        <v>5</v>
      </c>
      <c r="H31" s="75"/>
      <c r="I31" s="41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75" t="s">
        <v>5</v>
      </c>
      <c r="H32" s="75"/>
      <c r="I32" s="41" t="s">
        <v>6</v>
      </c>
    </row>
    <row r="33" spans="1:9" ht="20.149999999999999" customHeight="1" x14ac:dyDescent="0.6">
      <c r="A33" s="10"/>
      <c r="B33" s="10"/>
      <c r="C33" s="10"/>
      <c r="D33" s="19"/>
      <c r="E33" s="10"/>
      <c r="F33" s="14" t="s">
        <v>11</v>
      </c>
      <c r="G33" s="75" t="s">
        <v>5</v>
      </c>
      <c r="H33" s="75"/>
      <c r="I33" s="41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4">
    <tabColor rgb="FFFFFF00"/>
  </sheetPr>
  <dimension ref="A1:I39"/>
  <sheetViews>
    <sheetView showGridLines="0" tabSelected="1" view="pageLayout" topLeftCell="A33" zoomScaleNormal="100" workbookViewId="0">
      <selection activeCell="A34" sqref="A34:D34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223</v>
      </c>
      <c r="C1" s="68"/>
      <c r="D1" s="68"/>
      <c r="E1" s="68"/>
      <c r="F1" s="58"/>
      <c r="G1" s="7" t="s">
        <v>4</v>
      </c>
      <c r="H1">
        <f>SUM(E6:E38)</f>
        <v>86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224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55" t="s">
        <v>10</v>
      </c>
      <c r="F5" s="73" t="s">
        <v>7</v>
      </c>
      <c r="G5" s="74"/>
      <c r="H5" s="74"/>
    </row>
    <row r="6" spans="1:9" s="3" customFormat="1" ht="20.149999999999999" customHeight="1" thickTop="1" x14ac:dyDescent="0.6">
      <c r="A6" s="91" t="s">
        <v>225</v>
      </c>
      <c r="B6" s="91"/>
      <c r="C6" s="91"/>
      <c r="D6" s="92"/>
      <c r="E6" s="65">
        <v>1</v>
      </c>
      <c r="F6" s="15" t="s">
        <v>11</v>
      </c>
      <c r="G6" s="57" t="s">
        <v>5</v>
      </c>
      <c r="H6" s="57" t="s">
        <v>9</v>
      </c>
      <c r="I6" s="57" t="s">
        <v>6</v>
      </c>
    </row>
    <row r="7" spans="1:9" ht="20.149999999999999" customHeight="1" x14ac:dyDescent="0.6">
      <c r="A7" s="85" t="s">
        <v>226</v>
      </c>
      <c r="B7" s="85"/>
      <c r="C7" s="85"/>
      <c r="D7" s="86"/>
      <c r="E7" s="66">
        <v>1</v>
      </c>
      <c r="F7" s="14" t="s">
        <v>11</v>
      </c>
      <c r="G7" s="56" t="s">
        <v>5</v>
      </c>
      <c r="H7" s="56" t="s">
        <v>9</v>
      </c>
      <c r="I7" s="56" t="s">
        <v>6</v>
      </c>
    </row>
    <row r="8" spans="1:9" ht="20.149999999999999" customHeight="1" x14ac:dyDescent="0.6">
      <c r="A8" s="85" t="s">
        <v>227</v>
      </c>
      <c r="B8" s="85"/>
      <c r="C8" s="85"/>
      <c r="D8" s="86"/>
      <c r="E8" s="64">
        <v>1</v>
      </c>
      <c r="F8" s="14" t="s">
        <v>11</v>
      </c>
      <c r="G8" s="56" t="s">
        <v>5</v>
      </c>
      <c r="H8" s="56" t="s">
        <v>9</v>
      </c>
      <c r="I8" s="56" t="s">
        <v>6</v>
      </c>
    </row>
    <row r="9" spans="1:9" ht="20.149999999999999" customHeight="1" x14ac:dyDescent="0.6">
      <c r="A9" s="85" t="s">
        <v>228</v>
      </c>
      <c r="B9" s="85"/>
      <c r="C9" s="85"/>
      <c r="D9" s="86"/>
      <c r="E9" s="64">
        <v>1</v>
      </c>
      <c r="F9" s="14" t="s">
        <v>11</v>
      </c>
      <c r="G9" s="56" t="s">
        <v>5</v>
      </c>
      <c r="H9" s="56" t="s">
        <v>9</v>
      </c>
      <c r="I9" s="56" t="s">
        <v>6</v>
      </c>
    </row>
    <row r="10" spans="1:9" ht="20.149999999999999" customHeight="1" x14ac:dyDescent="0.6">
      <c r="A10" s="85" t="s">
        <v>229</v>
      </c>
      <c r="B10" s="85"/>
      <c r="C10" s="85"/>
      <c r="D10" s="86"/>
      <c r="E10" s="64">
        <v>1</v>
      </c>
      <c r="F10" s="14" t="s">
        <v>11</v>
      </c>
      <c r="G10" s="56" t="s">
        <v>5</v>
      </c>
      <c r="H10" s="56" t="s">
        <v>9</v>
      </c>
      <c r="I10" s="56" t="s">
        <v>6</v>
      </c>
    </row>
    <row r="11" spans="1:9" ht="20.149999999999999" customHeight="1" x14ac:dyDescent="0.6">
      <c r="A11" s="85" t="s">
        <v>230</v>
      </c>
      <c r="B11" s="85"/>
      <c r="C11" s="85"/>
      <c r="D11" s="86"/>
      <c r="E11" s="64">
        <v>1</v>
      </c>
      <c r="F11" s="14" t="s">
        <v>11</v>
      </c>
      <c r="G11" s="56" t="s">
        <v>5</v>
      </c>
      <c r="H11" s="56" t="s">
        <v>9</v>
      </c>
      <c r="I11" s="56" t="s">
        <v>6</v>
      </c>
    </row>
    <row r="12" spans="1:9" ht="20.149999999999999" customHeight="1" x14ac:dyDescent="0.6">
      <c r="A12" s="87" t="s">
        <v>231</v>
      </c>
      <c r="B12" s="87"/>
      <c r="C12" s="87"/>
      <c r="D12" s="87"/>
      <c r="E12" s="64">
        <v>1</v>
      </c>
      <c r="F12" s="14" t="s">
        <v>11</v>
      </c>
      <c r="G12" s="56" t="s">
        <v>5</v>
      </c>
      <c r="H12" s="56" t="s">
        <v>9</v>
      </c>
      <c r="I12" s="56" t="s">
        <v>6</v>
      </c>
    </row>
    <row r="13" spans="1:9" ht="20.149999999999999" customHeight="1" x14ac:dyDescent="0.6">
      <c r="A13" s="85" t="s">
        <v>232</v>
      </c>
      <c r="B13" s="85"/>
      <c r="C13" s="85"/>
      <c r="D13" s="86"/>
      <c r="E13" s="64">
        <v>1</v>
      </c>
      <c r="F13" s="14" t="s">
        <v>11</v>
      </c>
      <c r="G13" s="56" t="s">
        <v>5</v>
      </c>
      <c r="H13" s="56" t="s">
        <v>9</v>
      </c>
      <c r="I13" s="56" t="s">
        <v>6</v>
      </c>
    </row>
    <row r="14" spans="1:9" ht="20.149999999999999" customHeight="1" x14ac:dyDescent="0.6">
      <c r="A14" s="85" t="s">
        <v>233</v>
      </c>
      <c r="B14" s="85"/>
      <c r="C14" s="85"/>
      <c r="D14" s="86"/>
      <c r="E14" s="64">
        <v>1</v>
      </c>
      <c r="F14" s="14" t="s">
        <v>11</v>
      </c>
      <c r="G14" s="56" t="s">
        <v>5</v>
      </c>
      <c r="H14" s="56" t="s">
        <v>9</v>
      </c>
      <c r="I14" s="56" t="s">
        <v>6</v>
      </c>
    </row>
    <row r="15" spans="1:9" ht="20.149999999999999" customHeight="1" x14ac:dyDescent="0.6">
      <c r="A15" s="85" t="s">
        <v>234</v>
      </c>
      <c r="B15" s="85"/>
      <c r="C15" s="85"/>
      <c r="D15" s="86"/>
      <c r="E15" s="64">
        <v>1</v>
      </c>
      <c r="F15" s="14" t="s">
        <v>11</v>
      </c>
      <c r="G15" s="56" t="s">
        <v>5</v>
      </c>
      <c r="H15" s="56" t="s">
        <v>9</v>
      </c>
      <c r="I15" s="56" t="s">
        <v>6</v>
      </c>
    </row>
    <row r="16" spans="1:9" ht="20.149999999999999" customHeight="1" x14ac:dyDescent="0.6">
      <c r="A16" s="85" t="s">
        <v>235</v>
      </c>
      <c r="B16" s="85"/>
      <c r="C16" s="85"/>
      <c r="D16" s="86"/>
      <c r="E16" s="64">
        <v>1</v>
      </c>
      <c r="F16" s="14" t="s">
        <v>11</v>
      </c>
      <c r="G16" s="56" t="s">
        <v>5</v>
      </c>
      <c r="H16" s="56" t="s">
        <v>9</v>
      </c>
      <c r="I16" s="56" t="s">
        <v>6</v>
      </c>
    </row>
    <row r="17" spans="1:9" ht="20.149999999999999" customHeight="1" x14ac:dyDescent="0.6">
      <c r="A17" s="80" t="s">
        <v>236</v>
      </c>
      <c r="B17" s="80"/>
      <c r="C17" s="80"/>
      <c r="D17" s="81"/>
      <c r="E17" s="64">
        <v>1</v>
      </c>
      <c r="F17" s="14" t="s">
        <v>11</v>
      </c>
      <c r="G17" s="56" t="s">
        <v>5</v>
      </c>
      <c r="H17" s="56" t="s">
        <v>9</v>
      </c>
      <c r="I17" s="56" t="s">
        <v>6</v>
      </c>
    </row>
    <row r="18" spans="1:9" ht="20.149999999999999" customHeight="1" x14ac:dyDescent="0.6">
      <c r="A18" s="80" t="s">
        <v>237</v>
      </c>
      <c r="B18" s="80"/>
      <c r="C18" s="80"/>
      <c r="D18" s="81"/>
      <c r="E18" s="64">
        <v>1</v>
      </c>
      <c r="F18" s="14" t="s">
        <v>11</v>
      </c>
      <c r="G18" s="56" t="s">
        <v>5</v>
      </c>
      <c r="H18" s="56" t="s">
        <v>9</v>
      </c>
      <c r="I18" s="56" t="s">
        <v>6</v>
      </c>
    </row>
    <row r="19" spans="1:9" ht="20.149999999999999" customHeight="1" x14ac:dyDescent="0.6">
      <c r="A19" s="87" t="s">
        <v>256</v>
      </c>
      <c r="B19" s="87"/>
      <c r="C19" s="87"/>
      <c r="D19" s="88"/>
      <c r="E19" s="64">
        <v>4</v>
      </c>
      <c r="F19" s="14" t="s">
        <v>11</v>
      </c>
      <c r="G19" s="56" t="s">
        <v>5</v>
      </c>
      <c r="H19" s="56" t="s">
        <v>9</v>
      </c>
      <c r="I19" s="56" t="s">
        <v>6</v>
      </c>
    </row>
    <row r="20" spans="1:9" ht="20.149999999999999" customHeight="1" x14ac:dyDescent="0.6">
      <c r="A20" s="80" t="s">
        <v>238</v>
      </c>
      <c r="B20" s="80"/>
      <c r="C20" s="80"/>
      <c r="D20" s="81"/>
      <c r="E20" s="64">
        <v>2</v>
      </c>
      <c r="F20" s="14" t="s">
        <v>11</v>
      </c>
      <c r="G20" s="56" t="s">
        <v>5</v>
      </c>
      <c r="H20" s="56" t="s">
        <v>9</v>
      </c>
      <c r="I20" s="56" t="s">
        <v>6</v>
      </c>
    </row>
    <row r="21" spans="1:9" ht="20.149999999999999" customHeight="1" x14ac:dyDescent="0.6">
      <c r="A21" s="80" t="s">
        <v>239</v>
      </c>
      <c r="B21" s="80"/>
      <c r="C21" s="80"/>
      <c r="D21" s="81"/>
      <c r="E21" s="64">
        <v>1</v>
      </c>
      <c r="F21" s="14" t="s">
        <v>11</v>
      </c>
      <c r="G21" s="56" t="s">
        <v>5</v>
      </c>
      <c r="H21" s="56" t="s">
        <v>9</v>
      </c>
      <c r="I21" s="56" t="s">
        <v>6</v>
      </c>
    </row>
    <row r="22" spans="1:9" ht="20.149999999999999" customHeight="1" x14ac:dyDescent="0.6">
      <c r="A22" s="80" t="s">
        <v>257</v>
      </c>
      <c r="B22" s="80"/>
      <c r="C22" s="80"/>
      <c r="D22" s="81"/>
      <c r="E22" s="64">
        <v>2</v>
      </c>
      <c r="F22" s="14" t="s">
        <v>11</v>
      </c>
      <c r="G22" s="56" t="s">
        <v>5</v>
      </c>
      <c r="H22" s="56" t="s">
        <v>9</v>
      </c>
      <c r="I22" s="56" t="s">
        <v>6</v>
      </c>
    </row>
    <row r="23" spans="1:9" ht="20.149999999999999" customHeight="1" x14ac:dyDescent="0.6">
      <c r="A23" s="89" t="s">
        <v>258</v>
      </c>
      <c r="B23" s="89"/>
      <c r="C23" s="89"/>
      <c r="D23" s="90"/>
      <c r="E23" s="64">
        <v>2</v>
      </c>
      <c r="F23" s="14" t="s">
        <v>11</v>
      </c>
      <c r="G23" s="56" t="s">
        <v>5</v>
      </c>
      <c r="H23" s="56" t="s">
        <v>9</v>
      </c>
      <c r="I23" s="56" t="s">
        <v>6</v>
      </c>
    </row>
    <row r="24" spans="1:9" ht="20.149999999999999" customHeight="1" x14ac:dyDescent="0.6">
      <c r="A24" s="80" t="s">
        <v>259</v>
      </c>
      <c r="B24" s="80"/>
      <c r="C24" s="80"/>
      <c r="D24" s="81"/>
      <c r="E24" s="67">
        <v>2</v>
      </c>
      <c r="F24" s="14" t="s">
        <v>11</v>
      </c>
      <c r="G24" s="56" t="s">
        <v>5</v>
      </c>
      <c r="H24" s="56" t="s">
        <v>9</v>
      </c>
      <c r="I24" s="56" t="s">
        <v>6</v>
      </c>
    </row>
    <row r="25" spans="1:9" ht="20.149999999999999" customHeight="1" x14ac:dyDescent="0.6">
      <c r="A25" s="80" t="s">
        <v>260</v>
      </c>
      <c r="B25" s="80"/>
      <c r="C25" s="80"/>
      <c r="D25" s="81"/>
      <c r="E25" s="64">
        <v>4</v>
      </c>
      <c r="F25" s="14" t="s">
        <v>11</v>
      </c>
      <c r="G25" s="56" t="s">
        <v>5</v>
      </c>
      <c r="H25" s="56" t="s">
        <v>9</v>
      </c>
      <c r="I25" s="56" t="s">
        <v>6</v>
      </c>
    </row>
    <row r="26" spans="1:9" ht="20.149999999999999" customHeight="1" x14ac:dyDescent="0.6">
      <c r="A26" s="80" t="s">
        <v>261</v>
      </c>
      <c r="B26" s="80"/>
      <c r="C26" s="80"/>
      <c r="D26" s="81"/>
      <c r="E26" s="64">
        <v>4</v>
      </c>
      <c r="F26" s="14" t="s">
        <v>11</v>
      </c>
      <c r="G26" s="56" t="s">
        <v>5</v>
      </c>
      <c r="H26" s="56" t="s">
        <v>9</v>
      </c>
      <c r="I26" s="56" t="s">
        <v>6</v>
      </c>
    </row>
    <row r="27" spans="1:9" ht="20.149999999999999" customHeight="1" x14ac:dyDescent="0.35">
      <c r="A27" s="4"/>
      <c r="B27" s="4"/>
      <c r="C27" s="4"/>
      <c r="E27" s="4"/>
      <c r="F27" s="4"/>
      <c r="G27" s="4"/>
      <c r="H27" s="4"/>
    </row>
    <row r="28" spans="1:9" ht="20.149999999999999" customHeight="1" thickBot="1" x14ac:dyDescent="0.65">
      <c r="A28" s="71" t="s">
        <v>3</v>
      </c>
      <c r="B28" s="72"/>
      <c r="C28" s="71"/>
      <c r="D28" s="72"/>
      <c r="E28" s="12" t="s">
        <v>10</v>
      </c>
      <c r="F28" s="73" t="s">
        <v>7</v>
      </c>
      <c r="G28" s="74"/>
      <c r="H28" s="74"/>
      <c r="I28" s="3"/>
    </row>
    <row r="29" spans="1:9" ht="20.149999999999999" customHeight="1" thickTop="1" x14ac:dyDescent="0.6">
      <c r="A29" s="83" t="s">
        <v>264</v>
      </c>
      <c r="B29" s="83"/>
      <c r="C29" s="83"/>
      <c r="D29" s="84"/>
      <c r="E29" s="54">
        <v>6</v>
      </c>
      <c r="F29" s="15" t="s">
        <v>11</v>
      </c>
      <c r="G29" s="76" t="s">
        <v>5</v>
      </c>
      <c r="H29" s="76"/>
      <c r="I29" s="57" t="s">
        <v>6</v>
      </c>
    </row>
    <row r="30" spans="1:9" ht="20.149999999999999" customHeight="1" x14ac:dyDescent="0.6">
      <c r="A30" s="78" t="s">
        <v>262</v>
      </c>
      <c r="B30" s="78"/>
      <c r="C30" s="78"/>
      <c r="D30" s="79"/>
      <c r="E30" s="54">
        <v>6</v>
      </c>
      <c r="F30" s="14" t="s">
        <v>11</v>
      </c>
      <c r="G30" s="75" t="s">
        <v>5</v>
      </c>
      <c r="H30" s="75"/>
      <c r="I30" s="56" t="s">
        <v>6</v>
      </c>
    </row>
    <row r="31" spans="1:9" ht="20.149999999999999" customHeight="1" x14ac:dyDescent="0.6">
      <c r="A31" s="78" t="s">
        <v>263</v>
      </c>
      <c r="B31" s="78"/>
      <c r="C31" s="78"/>
      <c r="D31" s="79"/>
      <c r="E31" s="54">
        <v>12</v>
      </c>
      <c r="F31" s="14" t="s">
        <v>11</v>
      </c>
      <c r="G31" s="75" t="s">
        <v>5</v>
      </c>
      <c r="H31" s="75"/>
      <c r="I31" s="56" t="s">
        <v>6</v>
      </c>
    </row>
    <row r="32" spans="1:9" ht="20.149999999999999" customHeight="1" x14ac:dyDescent="0.6">
      <c r="A32" s="78" t="s">
        <v>265</v>
      </c>
      <c r="B32" s="78"/>
      <c r="C32" s="78"/>
      <c r="D32" s="79"/>
      <c r="E32" s="54">
        <v>2</v>
      </c>
      <c r="F32" s="14" t="s">
        <v>11</v>
      </c>
      <c r="G32" s="75" t="s">
        <v>5</v>
      </c>
      <c r="H32" s="75"/>
      <c r="I32" s="56" t="s">
        <v>6</v>
      </c>
    </row>
    <row r="33" spans="1:9" ht="20.149999999999999" customHeight="1" x14ac:dyDescent="0.6">
      <c r="A33" s="78" t="s">
        <v>267</v>
      </c>
      <c r="B33" s="78"/>
      <c r="C33" s="78"/>
      <c r="D33" s="79"/>
      <c r="E33" s="54">
        <v>6</v>
      </c>
      <c r="F33" s="14" t="s">
        <v>11</v>
      </c>
      <c r="G33" s="75" t="s">
        <v>5</v>
      </c>
      <c r="H33" s="75"/>
      <c r="I33" s="56" t="s">
        <v>6</v>
      </c>
    </row>
    <row r="34" spans="1:9" ht="20.149999999999999" customHeight="1" x14ac:dyDescent="0.6">
      <c r="A34" s="78" t="s">
        <v>266</v>
      </c>
      <c r="B34" s="78"/>
      <c r="C34" s="78"/>
      <c r="D34" s="79"/>
      <c r="E34" s="54">
        <v>14</v>
      </c>
      <c r="F34" s="14" t="s">
        <v>11</v>
      </c>
      <c r="G34" s="75" t="s">
        <v>5</v>
      </c>
      <c r="H34" s="75"/>
      <c r="I34" s="56" t="s">
        <v>6</v>
      </c>
    </row>
    <row r="35" spans="1:9" ht="20.149999999999999" customHeight="1" x14ac:dyDescent="0.6">
      <c r="A35" s="78" t="s">
        <v>269</v>
      </c>
      <c r="B35" s="77"/>
      <c r="C35" s="77"/>
      <c r="D35" s="82"/>
      <c r="E35" s="54">
        <v>6</v>
      </c>
      <c r="F35" s="14" t="s">
        <v>11</v>
      </c>
      <c r="G35" s="75" t="s">
        <v>5</v>
      </c>
      <c r="H35" s="75"/>
      <c r="I35" s="56" t="s">
        <v>6</v>
      </c>
    </row>
    <row r="36" spans="1:9" ht="20.149999999999999" customHeight="1" x14ac:dyDescent="0.6">
      <c r="A36" s="77"/>
      <c r="B36" s="77"/>
      <c r="C36" s="77"/>
      <c r="D36" s="82"/>
      <c r="E36" s="54"/>
      <c r="F36" s="14" t="s">
        <v>11</v>
      </c>
      <c r="G36" s="75" t="s">
        <v>5</v>
      </c>
      <c r="H36" s="75"/>
      <c r="I36" s="56" t="s">
        <v>6</v>
      </c>
    </row>
    <row r="37" spans="1:9" ht="19.75" customHeight="1" x14ac:dyDescent="0.6">
      <c r="A37" s="77" t="s">
        <v>268</v>
      </c>
      <c r="B37" s="78"/>
      <c r="C37" s="78"/>
      <c r="D37" s="79"/>
      <c r="E37" s="54"/>
      <c r="F37" s="14" t="s">
        <v>11</v>
      </c>
      <c r="G37" s="75" t="s">
        <v>5</v>
      </c>
      <c r="H37" s="75"/>
      <c r="I37" s="56" t="s">
        <v>6</v>
      </c>
    </row>
    <row r="38" spans="1:9" ht="10.5" customHeight="1" x14ac:dyDescent="0.35">
      <c r="A38" s="4"/>
      <c r="B38" s="4"/>
    </row>
    <row r="39" spans="1:9" ht="26" x14ac:dyDescent="0.6">
      <c r="A39" s="4" t="s">
        <v>12</v>
      </c>
      <c r="B39" s="56" t="s">
        <v>13</v>
      </c>
      <c r="D39" s="56" t="s">
        <v>15</v>
      </c>
      <c r="F39" s="56" t="s">
        <v>14</v>
      </c>
      <c r="G39" s="56" t="s">
        <v>16</v>
      </c>
    </row>
  </sheetData>
  <mergeCells count="45">
    <mergeCell ref="F5:H5"/>
    <mergeCell ref="A6:D6"/>
    <mergeCell ref="A7:D7"/>
    <mergeCell ref="A8:D8"/>
    <mergeCell ref="A9:D9"/>
    <mergeCell ref="A26:D26"/>
    <mergeCell ref="A13:D13"/>
    <mergeCell ref="B1:E1"/>
    <mergeCell ref="A3:D3"/>
    <mergeCell ref="A5:D5"/>
    <mergeCell ref="A10:D10"/>
    <mergeCell ref="A11:D11"/>
    <mergeCell ref="A12:D12"/>
    <mergeCell ref="A21:D21"/>
    <mergeCell ref="A22:D22"/>
    <mergeCell ref="A23:D23"/>
    <mergeCell ref="A24:D24"/>
    <mergeCell ref="A25:D25"/>
    <mergeCell ref="A14:D14"/>
    <mergeCell ref="A15:D15"/>
    <mergeCell ref="A16:D16"/>
    <mergeCell ref="A19:D19"/>
    <mergeCell ref="A20:D20"/>
    <mergeCell ref="A28:D28"/>
    <mergeCell ref="F28:H28"/>
    <mergeCell ref="A29:D29"/>
    <mergeCell ref="G29:H29"/>
    <mergeCell ref="A30:D30"/>
    <mergeCell ref="G30:H30"/>
    <mergeCell ref="A37:D37"/>
    <mergeCell ref="G37:H37"/>
    <mergeCell ref="A17:D17"/>
    <mergeCell ref="A18:D18"/>
    <mergeCell ref="A34:D34"/>
    <mergeCell ref="G34:H34"/>
    <mergeCell ref="A35:D35"/>
    <mergeCell ref="G35:H35"/>
    <mergeCell ref="A36:D36"/>
    <mergeCell ref="G36:H36"/>
    <mergeCell ref="A31:D31"/>
    <mergeCell ref="G31:H31"/>
    <mergeCell ref="A32:D32"/>
    <mergeCell ref="G32:H32"/>
    <mergeCell ref="A33:D33"/>
    <mergeCell ref="G33:H3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176</v>
      </c>
      <c r="C1" s="68"/>
      <c r="D1" s="68"/>
      <c r="E1" s="68"/>
      <c r="F1" s="1"/>
      <c r="G1" s="7" t="s">
        <v>4</v>
      </c>
      <c r="H1">
        <f>SUM(E6:E37)</f>
        <v>85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177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8" t="s">
        <v>10</v>
      </c>
      <c r="F5" s="73" t="s">
        <v>7</v>
      </c>
      <c r="G5" s="74"/>
      <c r="H5" s="74"/>
    </row>
    <row r="6" spans="1:9" s="3" customFormat="1" ht="20.149999999999999" customHeight="1" thickTop="1" x14ac:dyDescent="0.6">
      <c r="A6" s="91" t="s">
        <v>178</v>
      </c>
      <c r="B6" s="91"/>
      <c r="C6" s="91"/>
      <c r="D6" s="92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85" t="s">
        <v>179</v>
      </c>
      <c r="B7" s="85"/>
      <c r="C7" s="85"/>
      <c r="D7" s="86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85" t="s">
        <v>180</v>
      </c>
      <c r="B8" s="85"/>
      <c r="C8" s="85"/>
      <c r="D8" s="86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85" t="s">
        <v>181</v>
      </c>
      <c r="B9" s="85"/>
      <c r="C9" s="85"/>
      <c r="D9" s="86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85" t="s">
        <v>182</v>
      </c>
      <c r="B10" s="85"/>
      <c r="C10" s="85"/>
      <c r="D10" s="86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85" t="s">
        <v>183</v>
      </c>
      <c r="B11" s="85"/>
      <c r="C11" s="85"/>
      <c r="D11" s="86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85" t="s">
        <v>184</v>
      </c>
      <c r="B12" s="85"/>
      <c r="C12" s="85"/>
      <c r="D12" s="86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85"/>
      <c r="B13" s="85"/>
      <c r="C13" s="85"/>
      <c r="D13" s="86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85"/>
      <c r="B14" s="85"/>
      <c r="C14" s="85"/>
      <c r="D14" s="86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49999999999999" customHeight="1" x14ac:dyDescent="0.6">
      <c r="A15" s="80"/>
      <c r="B15" s="80"/>
      <c r="C15" s="80"/>
      <c r="D15" s="81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80"/>
      <c r="B16" s="80"/>
      <c r="C16" s="80"/>
      <c r="D16" s="81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80"/>
      <c r="B17" s="80"/>
      <c r="C17" s="80"/>
      <c r="D17" s="81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80"/>
      <c r="B18" s="80"/>
      <c r="C18" s="80"/>
      <c r="D18" s="81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80"/>
      <c r="B19" s="80"/>
      <c r="C19" s="80"/>
      <c r="D19" s="81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80"/>
      <c r="B20" s="80"/>
      <c r="C20" s="80"/>
      <c r="D20" s="81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49999999999999" customHeight="1" x14ac:dyDescent="0.6">
      <c r="A21" s="80"/>
      <c r="B21" s="80"/>
      <c r="C21" s="80"/>
      <c r="D21" s="81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49999999999999" customHeight="1" x14ac:dyDescent="0.6">
      <c r="A22" s="80"/>
      <c r="B22" s="80"/>
      <c r="C22" s="80"/>
      <c r="D22" s="81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49999999999999" customHeight="1" x14ac:dyDescent="0.6">
      <c r="A23" s="80"/>
      <c r="B23" s="80"/>
      <c r="C23" s="80"/>
      <c r="D23" s="81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49999999999999" customHeight="1" x14ac:dyDescent="0.6">
      <c r="A24" s="80"/>
      <c r="B24" s="80"/>
      <c r="C24" s="80"/>
      <c r="D24" s="81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49999999999999" customHeight="1" x14ac:dyDescent="0.6">
      <c r="A25" s="80"/>
      <c r="B25" s="80"/>
      <c r="C25" s="80"/>
      <c r="D25" s="81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.149999999999999" customHeight="1" x14ac:dyDescent="0.35">
      <c r="A26" s="4"/>
      <c r="B26" s="4"/>
      <c r="C26" s="4"/>
      <c r="E26" s="4"/>
      <c r="F26" s="4"/>
      <c r="G26" s="4"/>
      <c r="H26" s="4"/>
    </row>
    <row r="27" spans="1:9" ht="20.149999999999999" customHeight="1" thickBot="1" x14ac:dyDescent="0.65">
      <c r="A27" s="71" t="s">
        <v>3</v>
      </c>
      <c r="B27" s="72"/>
      <c r="C27" s="71"/>
      <c r="D27" s="72"/>
      <c r="E27" s="12" t="s">
        <v>10</v>
      </c>
      <c r="F27" s="73" t="s">
        <v>7</v>
      </c>
      <c r="G27" s="74"/>
      <c r="H27" s="74"/>
      <c r="I27" s="3"/>
    </row>
    <row r="28" spans="1:9" ht="20.149999999999999" customHeight="1" thickTop="1" x14ac:dyDescent="0.6">
      <c r="A28" s="95" t="s">
        <v>186</v>
      </c>
      <c r="B28" s="95"/>
      <c r="C28" s="95"/>
      <c r="D28" s="96"/>
      <c r="E28" s="10">
        <v>9</v>
      </c>
      <c r="F28" s="15" t="s">
        <v>11</v>
      </c>
      <c r="G28" s="76" t="s">
        <v>5</v>
      </c>
      <c r="H28" s="76"/>
      <c r="I28" s="29" t="s">
        <v>6</v>
      </c>
    </row>
    <row r="29" spans="1:9" ht="20.149999999999999" customHeight="1" x14ac:dyDescent="0.6">
      <c r="A29" s="97" t="s">
        <v>185</v>
      </c>
      <c r="B29" s="97"/>
      <c r="C29" s="97"/>
      <c r="D29" s="98"/>
      <c r="E29" s="10">
        <v>2</v>
      </c>
      <c r="F29" s="14" t="s">
        <v>11</v>
      </c>
      <c r="G29" s="75" t="s">
        <v>5</v>
      </c>
      <c r="H29" s="75"/>
      <c r="I29" s="27" t="s">
        <v>6</v>
      </c>
    </row>
    <row r="30" spans="1:9" ht="20.149999999999999" customHeight="1" x14ac:dyDescent="0.6">
      <c r="A30" s="93" t="s">
        <v>187</v>
      </c>
      <c r="B30" s="93"/>
      <c r="C30" s="93"/>
      <c r="D30" s="94"/>
      <c r="E30" s="10">
        <v>1</v>
      </c>
      <c r="F30" s="14" t="s">
        <v>11</v>
      </c>
      <c r="G30" s="75" t="s">
        <v>5</v>
      </c>
      <c r="H30" s="75"/>
      <c r="I30" s="27" t="s">
        <v>6</v>
      </c>
    </row>
    <row r="31" spans="1:9" ht="20.149999999999999" customHeight="1" x14ac:dyDescent="0.6">
      <c r="A31" s="93" t="s">
        <v>188</v>
      </c>
      <c r="B31" s="93"/>
      <c r="C31" s="93"/>
      <c r="D31" s="94"/>
      <c r="E31" s="10">
        <v>1</v>
      </c>
      <c r="F31" s="14" t="s">
        <v>11</v>
      </c>
      <c r="G31" s="75" t="s">
        <v>5</v>
      </c>
      <c r="H31" s="75"/>
      <c r="I31" s="27" t="s">
        <v>6</v>
      </c>
    </row>
    <row r="32" spans="1:9" ht="20.149999999999999" customHeight="1" x14ac:dyDescent="0.6">
      <c r="A32" s="93" t="s">
        <v>189</v>
      </c>
      <c r="B32" s="93"/>
      <c r="C32" s="93"/>
      <c r="D32" s="94"/>
      <c r="E32" s="10">
        <v>1</v>
      </c>
      <c r="F32" s="14" t="s">
        <v>11</v>
      </c>
      <c r="G32" s="75" t="s">
        <v>5</v>
      </c>
      <c r="H32" s="75"/>
      <c r="I32" s="27" t="s">
        <v>6</v>
      </c>
    </row>
    <row r="33" spans="1:9" ht="20.149999999999999" customHeight="1" x14ac:dyDescent="0.6">
      <c r="A33" s="93" t="s">
        <v>37</v>
      </c>
      <c r="B33" s="93"/>
      <c r="C33" s="93"/>
      <c r="D33" s="94"/>
      <c r="E33" s="10">
        <v>22</v>
      </c>
      <c r="F33" s="14" t="s">
        <v>11</v>
      </c>
      <c r="G33" s="75" t="s">
        <v>5</v>
      </c>
      <c r="H33" s="75"/>
      <c r="I33" s="50" t="s">
        <v>6</v>
      </c>
    </row>
    <row r="34" spans="1:9" ht="20.149999999999999" customHeight="1" x14ac:dyDescent="0.6">
      <c r="A34" s="93" t="s">
        <v>190</v>
      </c>
      <c r="B34" s="93"/>
      <c r="C34" s="93"/>
      <c r="D34" s="94"/>
      <c r="E34" s="10">
        <v>9</v>
      </c>
      <c r="F34" s="14" t="s">
        <v>11</v>
      </c>
      <c r="G34" s="75" t="s">
        <v>5</v>
      </c>
      <c r="H34" s="75"/>
      <c r="I34" s="50" t="s">
        <v>6</v>
      </c>
    </row>
    <row r="35" spans="1:9" ht="20.149999999999999" customHeight="1" x14ac:dyDescent="0.6">
      <c r="A35" s="93" t="s">
        <v>191</v>
      </c>
      <c r="B35" s="93"/>
      <c r="C35" s="93"/>
      <c r="D35" s="94"/>
      <c r="E35" s="10">
        <v>13</v>
      </c>
      <c r="F35" s="14" t="s">
        <v>11</v>
      </c>
      <c r="G35" s="75" t="s">
        <v>5</v>
      </c>
      <c r="H35" s="75"/>
      <c r="I35" s="50" t="s">
        <v>6</v>
      </c>
    </row>
    <row r="36" spans="1:9" ht="19.75" customHeight="1" x14ac:dyDescent="0.6">
      <c r="A36" s="93" t="s">
        <v>192</v>
      </c>
      <c r="B36" s="93"/>
      <c r="C36" s="93"/>
      <c r="D36" s="94"/>
      <c r="E36" s="10">
        <v>9</v>
      </c>
      <c r="F36" s="14" t="s">
        <v>11</v>
      </c>
      <c r="G36" s="75" t="s">
        <v>5</v>
      </c>
      <c r="H36" s="75"/>
      <c r="I36" s="27" t="s">
        <v>6</v>
      </c>
    </row>
    <row r="37" spans="1:9" ht="10.5" customHeight="1" x14ac:dyDescent="0.35">
      <c r="A37" s="4"/>
      <c r="B37" s="4"/>
    </row>
    <row r="38" spans="1:9" ht="26" x14ac:dyDescent="0.6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G28:H28"/>
    <mergeCell ref="G29:H29"/>
    <mergeCell ref="G30:H30"/>
    <mergeCell ref="G31:H31"/>
    <mergeCell ref="G32:H32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32:D32"/>
    <mergeCell ref="A25:D25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A36:D36"/>
    <mergeCell ref="G35:H35"/>
    <mergeCell ref="A34:D34"/>
    <mergeCell ref="G34:H34"/>
    <mergeCell ref="G33:H33"/>
    <mergeCell ref="A35:D35"/>
    <mergeCell ref="G36:H36"/>
    <mergeCell ref="A33:D3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17</v>
      </c>
      <c r="C1" s="68"/>
      <c r="D1" s="68"/>
      <c r="E1" s="68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166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4" t="s">
        <v>10</v>
      </c>
      <c r="F5" s="73" t="s">
        <v>7</v>
      </c>
      <c r="G5" s="74"/>
      <c r="H5" s="74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1" t="s">
        <v>3</v>
      </c>
      <c r="B27" s="72"/>
      <c r="C27" s="71"/>
      <c r="D27" s="72"/>
      <c r="E27" s="12" t="s">
        <v>10</v>
      </c>
      <c r="F27" s="73" t="s">
        <v>7</v>
      </c>
      <c r="G27" s="74"/>
      <c r="H27" s="74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76" t="s">
        <v>5</v>
      </c>
      <c r="H28" s="76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75" t="s">
        <v>5</v>
      </c>
      <c r="H29" s="75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75" t="s">
        <v>5</v>
      </c>
      <c r="H30" s="75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75" t="s">
        <v>5</v>
      </c>
      <c r="H31" s="75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75" t="s">
        <v>5</v>
      </c>
      <c r="H32" s="75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75" t="s">
        <v>5</v>
      </c>
      <c r="H33" s="75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25</v>
      </c>
      <c r="C1" s="68"/>
      <c r="D1" s="68"/>
      <c r="E1" s="68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s="99" t="s">
        <v>26</v>
      </c>
      <c r="F3" s="99"/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4" t="s">
        <v>10</v>
      </c>
      <c r="F5" s="73" t="s">
        <v>7</v>
      </c>
      <c r="G5" s="74"/>
      <c r="H5" s="74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1" t="s">
        <v>3</v>
      </c>
      <c r="B27" s="72"/>
      <c r="C27" s="71"/>
      <c r="D27" s="72"/>
      <c r="E27" s="12" t="s">
        <v>10</v>
      </c>
      <c r="F27" s="73" t="s">
        <v>7</v>
      </c>
      <c r="G27" s="74"/>
      <c r="H27" s="74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76" t="s">
        <v>5</v>
      </c>
      <c r="H28" s="76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75" t="s">
        <v>5</v>
      </c>
      <c r="H29" s="75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75" t="s">
        <v>5</v>
      </c>
      <c r="H30" s="75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75" t="s">
        <v>5</v>
      </c>
      <c r="H31" s="75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75" t="s">
        <v>5</v>
      </c>
      <c r="H32" s="75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75" t="s">
        <v>5</v>
      </c>
      <c r="H33" s="75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>
    <tabColor rgb="FFFF0000"/>
  </sheetPr>
  <dimension ref="A1:I38"/>
  <sheetViews>
    <sheetView showGridLines="0" view="pageLayout" zoomScaleNormal="100" workbookViewId="0">
      <selection activeCell="A6" sqref="A6:A2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65" customHeight="1" x14ac:dyDescent="0.6">
      <c r="A1" s="2" t="s">
        <v>0</v>
      </c>
      <c r="B1" s="68" t="s">
        <v>40</v>
      </c>
      <c r="C1" s="68"/>
      <c r="D1" s="68"/>
      <c r="E1" s="68"/>
      <c r="F1" s="1"/>
      <c r="G1" s="7" t="s">
        <v>4</v>
      </c>
      <c r="H1">
        <f>SUM(E6:E36)</f>
        <v>71</v>
      </c>
    </row>
    <row r="2" spans="1:9" ht="23.5" customHeight="1" x14ac:dyDescent="0.6">
      <c r="G2" s="7" t="s">
        <v>8</v>
      </c>
      <c r="H2" t="s">
        <v>254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41</v>
      </c>
    </row>
    <row r="5" spans="1:9" s="3" customFormat="1" ht="20.149999999999999" customHeight="1" thickBot="1" x14ac:dyDescent="0.65">
      <c r="A5" s="71" t="s">
        <v>2</v>
      </c>
      <c r="B5" s="71"/>
      <c r="C5" s="71"/>
      <c r="D5" s="72"/>
      <c r="E5" s="24" t="s">
        <v>10</v>
      </c>
      <c r="F5" s="73" t="s">
        <v>7</v>
      </c>
      <c r="G5" s="74"/>
      <c r="H5" s="74"/>
      <c r="I5" s="63"/>
    </row>
    <row r="6" spans="1:9" ht="20.149999999999999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.149999999999999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49999999999999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49999999999999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49999999999999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49999999999999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49999999999999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49999999999999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49999999999999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49999999999999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49999999999999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49999999999999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49999999999999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49999999999999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49999999999999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49999999999999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49999999999999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.149999999999999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.149999999999999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71" t="s">
        <v>3</v>
      </c>
      <c r="B26" s="71"/>
      <c r="C26" s="71"/>
      <c r="D26" s="72"/>
      <c r="E26" s="12" t="s">
        <v>10</v>
      </c>
      <c r="F26" s="73" t="s">
        <v>7</v>
      </c>
      <c r="G26" s="74"/>
      <c r="H26" s="74"/>
      <c r="I26" s="3"/>
    </row>
    <row r="27" spans="1:9" ht="20.149999999999999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.149999999999999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.149999999999999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.149999999999999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.149999999999999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.149999999999999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.149999999999999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.149999999999999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.149999999999999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.149999999999999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5">
    <tabColor rgb="FFFF0000"/>
  </sheetPr>
  <dimension ref="A1:I38"/>
  <sheetViews>
    <sheetView showGridLines="0" view="pageLayout" zoomScaleNormal="100" workbookViewId="0">
      <selection activeCell="A26" sqref="A26:D26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65" customHeight="1" x14ac:dyDescent="0.6">
      <c r="A1" s="2" t="s">
        <v>0</v>
      </c>
      <c r="B1" s="68" t="s">
        <v>40</v>
      </c>
      <c r="C1" s="68"/>
      <c r="D1" s="68"/>
      <c r="E1" s="68"/>
      <c r="F1" s="62"/>
      <c r="G1" s="7" t="s">
        <v>4</v>
      </c>
      <c r="H1">
        <f>SUM(E6:E36)</f>
        <v>75</v>
      </c>
    </row>
    <row r="2" spans="1:9" ht="23.5" customHeight="1" x14ac:dyDescent="0.6">
      <c r="G2" s="7" t="s">
        <v>8</v>
      </c>
      <c r="H2" t="s">
        <v>254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41</v>
      </c>
    </row>
    <row r="5" spans="1:9" s="3" customFormat="1" ht="20.149999999999999" customHeight="1" thickBot="1" x14ac:dyDescent="0.65">
      <c r="A5" s="71" t="s">
        <v>2</v>
      </c>
      <c r="B5" s="71"/>
      <c r="C5" s="71"/>
      <c r="D5" s="72"/>
      <c r="E5" s="60" t="s">
        <v>10</v>
      </c>
      <c r="F5" s="73" t="s">
        <v>7</v>
      </c>
      <c r="G5" s="74"/>
      <c r="H5" s="74"/>
    </row>
    <row r="6" spans="1:9" ht="20.149999999999999" customHeight="1" thickTop="1" x14ac:dyDescent="0.6">
      <c r="A6" t="s">
        <v>240</v>
      </c>
      <c r="B6" s="61"/>
      <c r="C6" s="61"/>
      <c r="D6" s="61"/>
      <c r="E6" s="11">
        <v>1</v>
      </c>
      <c r="F6" s="14" t="s">
        <v>11</v>
      </c>
      <c r="G6" s="59" t="s">
        <v>5</v>
      </c>
      <c r="H6" s="59" t="s">
        <v>9</v>
      </c>
      <c r="I6" s="59" t="s">
        <v>6</v>
      </c>
    </row>
    <row r="7" spans="1:9" ht="20.149999999999999" customHeight="1" x14ac:dyDescent="0.6">
      <c r="A7" t="s">
        <v>44</v>
      </c>
      <c r="B7" s="61"/>
      <c r="C7" s="61"/>
      <c r="D7" s="61"/>
      <c r="E7" s="6">
        <v>1</v>
      </c>
      <c r="F7" s="14" t="s">
        <v>11</v>
      </c>
      <c r="G7" s="59" t="s">
        <v>5</v>
      </c>
      <c r="H7" s="59" t="s">
        <v>9</v>
      </c>
      <c r="I7" s="59" t="s">
        <v>6</v>
      </c>
    </row>
    <row r="8" spans="1:9" ht="20.149999999999999" customHeight="1" x14ac:dyDescent="0.6">
      <c r="A8" t="s">
        <v>45</v>
      </c>
      <c r="B8" s="61"/>
      <c r="C8" s="61"/>
      <c r="D8" s="61"/>
      <c r="E8" s="6">
        <v>1</v>
      </c>
      <c r="F8" s="14" t="s">
        <v>11</v>
      </c>
      <c r="G8" s="59" t="s">
        <v>5</v>
      </c>
      <c r="H8" s="59" t="s">
        <v>9</v>
      </c>
      <c r="I8" s="59" t="s">
        <v>6</v>
      </c>
    </row>
    <row r="9" spans="1:9" ht="20.149999999999999" customHeight="1" x14ac:dyDescent="0.6">
      <c r="A9" t="s">
        <v>241</v>
      </c>
      <c r="B9" s="61"/>
      <c r="C9" s="61"/>
      <c r="D9" s="61"/>
      <c r="E9" s="6">
        <v>1</v>
      </c>
      <c r="F9" s="14" t="s">
        <v>11</v>
      </c>
      <c r="G9" s="59" t="s">
        <v>5</v>
      </c>
      <c r="H9" s="59" t="s">
        <v>9</v>
      </c>
      <c r="I9" s="59" t="s">
        <v>6</v>
      </c>
    </row>
    <row r="10" spans="1:9" ht="20.149999999999999" customHeight="1" x14ac:dyDescent="0.6">
      <c r="A10" t="s">
        <v>242</v>
      </c>
      <c r="B10" s="61"/>
      <c r="C10" s="61"/>
      <c r="D10" s="61"/>
      <c r="E10" s="6">
        <v>1</v>
      </c>
      <c r="F10" s="14" t="s">
        <v>11</v>
      </c>
      <c r="G10" s="59" t="s">
        <v>5</v>
      </c>
      <c r="H10" s="59" t="s">
        <v>9</v>
      </c>
      <c r="I10" s="59" t="s">
        <v>6</v>
      </c>
    </row>
    <row r="11" spans="1:9" ht="20.149999999999999" customHeight="1" x14ac:dyDescent="0.6">
      <c r="A11" t="s">
        <v>243</v>
      </c>
      <c r="B11" s="61"/>
      <c r="C11" s="61"/>
      <c r="D11" s="61"/>
      <c r="E11" s="6">
        <v>1</v>
      </c>
      <c r="F11" s="14" t="s">
        <v>11</v>
      </c>
      <c r="G11" s="59" t="s">
        <v>5</v>
      </c>
      <c r="H11" s="59" t="s">
        <v>9</v>
      </c>
      <c r="I11" s="59" t="s">
        <v>6</v>
      </c>
    </row>
    <row r="12" spans="1:9" ht="20.149999999999999" customHeight="1" x14ac:dyDescent="0.6">
      <c r="A12" t="s">
        <v>51</v>
      </c>
      <c r="B12" s="61"/>
      <c r="C12" s="61"/>
      <c r="D12" s="61"/>
      <c r="E12" s="6">
        <v>1</v>
      </c>
      <c r="F12" s="14" t="s">
        <v>11</v>
      </c>
      <c r="G12" s="59" t="s">
        <v>5</v>
      </c>
      <c r="H12" s="59" t="s">
        <v>9</v>
      </c>
      <c r="I12" s="59" t="s">
        <v>6</v>
      </c>
    </row>
    <row r="13" spans="1:9" ht="20.149999999999999" customHeight="1" x14ac:dyDescent="0.6">
      <c r="A13" t="s">
        <v>244</v>
      </c>
      <c r="B13" s="61"/>
      <c r="C13" s="61"/>
      <c r="D13" s="61"/>
      <c r="E13" s="6">
        <v>1</v>
      </c>
      <c r="F13" s="14" t="s">
        <v>11</v>
      </c>
      <c r="G13" s="59" t="s">
        <v>5</v>
      </c>
      <c r="H13" s="59" t="s">
        <v>9</v>
      </c>
      <c r="I13" s="59" t="s">
        <v>6</v>
      </c>
    </row>
    <row r="14" spans="1:9" ht="20.149999999999999" customHeight="1" x14ac:dyDescent="0.6">
      <c r="A14" t="s">
        <v>245</v>
      </c>
      <c r="B14" s="61"/>
      <c r="C14" s="61"/>
      <c r="D14" s="61"/>
      <c r="E14" s="6">
        <v>2</v>
      </c>
      <c r="F14" s="14" t="s">
        <v>11</v>
      </c>
      <c r="G14" s="59" t="s">
        <v>5</v>
      </c>
      <c r="H14" s="59" t="s">
        <v>9</v>
      </c>
      <c r="I14" s="59" t="s">
        <v>6</v>
      </c>
    </row>
    <row r="15" spans="1:9" ht="20.149999999999999" customHeight="1" x14ac:dyDescent="0.6">
      <c r="A15" t="s">
        <v>246</v>
      </c>
      <c r="B15" s="61"/>
      <c r="C15" s="61"/>
      <c r="D15" s="61"/>
      <c r="E15" s="6">
        <v>1</v>
      </c>
      <c r="F15" s="14" t="s">
        <v>11</v>
      </c>
      <c r="G15" s="59" t="s">
        <v>5</v>
      </c>
      <c r="H15" s="59" t="s">
        <v>9</v>
      </c>
      <c r="I15" s="59" t="s">
        <v>6</v>
      </c>
    </row>
    <row r="16" spans="1:9" ht="20.149999999999999" customHeight="1" x14ac:dyDescent="0.6">
      <c r="A16" t="s">
        <v>247</v>
      </c>
      <c r="B16" s="61"/>
      <c r="C16" s="61"/>
      <c r="D16" s="61"/>
      <c r="E16" s="6">
        <v>1</v>
      </c>
      <c r="F16" s="14" t="s">
        <v>11</v>
      </c>
      <c r="G16" s="59" t="s">
        <v>5</v>
      </c>
      <c r="H16" s="59" t="s">
        <v>9</v>
      </c>
      <c r="I16" s="59" t="s">
        <v>6</v>
      </c>
    </row>
    <row r="17" spans="1:9" ht="20.149999999999999" customHeight="1" x14ac:dyDescent="0.6">
      <c r="A17" t="s">
        <v>248</v>
      </c>
      <c r="B17" s="61"/>
      <c r="C17" s="61"/>
      <c r="D17" s="61"/>
      <c r="E17" s="6">
        <v>1</v>
      </c>
      <c r="F17" s="14" t="s">
        <v>11</v>
      </c>
      <c r="G17" s="59" t="s">
        <v>5</v>
      </c>
      <c r="H17" s="59" t="s">
        <v>9</v>
      </c>
      <c r="I17" s="59" t="s">
        <v>6</v>
      </c>
    </row>
    <row r="18" spans="1:9" ht="20.149999999999999" customHeight="1" x14ac:dyDescent="0.6">
      <c r="A18" t="s">
        <v>57</v>
      </c>
      <c r="B18" s="61"/>
      <c r="C18" s="61"/>
      <c r="D18" s="61"/>
      <c r="E18" s="6">
        <v>2</v>
      </c>
      <c r="F18" s="14" t="s">
        <v>11</v>
      </c>
      <c r="G18" s="59" t="s">
        <v>5</v>
      </c>
      <c r="H18" s="59" t="s">
        <v>9</v>
      </c>
      <c r="I18" s="59" t="s">
        <v>6</v>
      </c>
    </row>
    <row r="19" spans="1:9" ht="20.149999999999999" customHeight="1" x14ac:dyDescent="0.6">
      <c r="A19" t="s">
        <v>52</v>
      </c>
      <c r="B19" s="61"/>
      <c r="C19" s="61"/>
      <c r="D19" s="61"/>
      <c r="E19" s="6">
        <v>6</v>
      </c>
      <c r="F19" s="14" t="s">
        <v>11</v>
      </c>
      <c r="G19" s="59" t="s">
        <v>5</v>
      </c>
      <c r="H19" s="59" t="s">
        <v>9</v>
      </c>
      <c r="I19" s="59" t="s">
        <v>6</v>
      </c>
    </row>
    <row r="20" spans="1:9" ht="20.149999999999999" customHeight="1" x14ac:dyDescent="0.6">
      <c r="A20" t="s">
        <v>55</v>
      </c>
      <c r="B20" s="61"/>
      <c r="C20" s="61"/>
      <c r="D20" s="61"/>
      <c r="E20" s="6">
        <v>1</v>
      </c>
      <c r="F20" s="14" t="s">
        <v>11</v>
      </c>
      <c r="G20" s="59" t="s">
        <v>5</v>
      </c>
      <c r="H20" s="59" t="s">
        <v>9</v>
      </c>
      <c r="I20" s="59" t="s">
        <v>6</v>
      </c>
    </row>
    <row r="21" spans="1:9" ht="20.149999999999999" customHeight="1" x14ac:dyDescent="0.6">
      <c r="A21" t="s">
        <v>54</v>
      </c>
      <c r="B21" s="61"/>
      <c r="C21" s="61"/>
      <c r="D21" s="61"/>
      <c r="E21" s="6">
        <v>1</v>
      </c>
      <c r="F21" s="14" t="s">
        <v>11</v>
      </c>
      <c r="G21" s="59" t="s">
        <v>5</v>
      </c>
      <c r="H21" s="59" t="s">
        <v>9</v>
      </c>
      <c r="I21" s="59" t="s">
        <v>6</v>
      </c>
    </row>
    <row r="22" spans="1:9" ht="20.149999999999999" customHeight="1" x14ac:dyDescent="0.6">
      <c r="A22" t="s">
        <v>56</v>
      </c>
      <c r="B22" s="61"/>
      <c r="C22" s="61"/>
      <c r="D22" s="61"/>
      <c r="E22" s="6">
        <v>1</v>
      </c>
      <c r="F22" s="14" t="s">
        <v>11</v>
      </c>
      <c r="G22" s="59" t="s">
        <v>5</v>
      </c>
      <c r="H22" s="59" t="s">
        <v>9</v>
      </c>
      <c r="I22" s="59" t="s">
        <v>6</v>
      </c>
    </row>
    <row r="23" spans="1:9" ht="20.149999999999999" customHeight="1" x14ac:dyDescent="0.6">
      <c r="A23" t="s">
        <v>60</v>
      </c>
      <c r="B23" s="61"/>
      <c r="C23" s="61"/>
      <c r="D23" s="61"/>
      <c r="E23" s="6">
        <v>2</v>
      </c>
      <c r="F23" s="14" t="s">
        <v>11</v>
      </c>
      <c r="G23" s="59" t="s">
        <v>5</v>
      </c>
      <c r="H23" s="59" t="s">
        <v>9</v>
      </c>
      <c r="I23" s="59" t="s">
        <v>6</v>
      </c>
    </row>
    <row r="24" spans="1:9" ht="20.149999999999999" customHeight="1" x14ac:dyDescent="0.6">
      <c r="A24" t="s">
        <v>255</v>
      </c>
      <c r="B24" s="61"/>
      <c r="C24" s="61"/>
      <c r="D24" s="61"/>
      <c r="E24" s="6">
        <v>1</v>
      </c>
      <c r="F24" s="14" t="s">
        <v>11</v>
      </c>
      <c r="G24" s="59" t="s">
        <v>5</v>
      </c>
      <c r="H24" s="59" t="s">
        <v>9</v>
      </c>
      <c r="I24" s="59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71" t="s">
        <v>3</v>
      </c>
      <c r="B26" s="71"/>
      <c r="C26" s="71"/>
      <c r="D26" s="72"/>
      <c r="E26" s="12" t="s">
        <v>10</v>
      </c>
      <c r="F26" s="73" t="s">
        <v>7</v>
      </c>
      <c r="G26" s="74"/>
      <c r="H26" s="74"/>
      <c r="I26" s="3"/>
    </row>
    <row r="27" spans="1:9" ht="20.149999999999999" customHeight="1" thickTop="1" x14ac:dyDescent="0.6">
      <c r="A27" t="s">
        <v>249</v>
      </c>
      <c r="B27" s="61"/>
      <c r="C27" s="61"/>
      <c r="D27" s="61"/>
      <c r="E27" s="6">
        <v>2</v>
      </c>
      <c r="F27" s="14" t="s">
        <v>11</v>
      </c>
      <c r="G27" s="59" t="s">
        <v>5</v>
      </c>
      <c r="H27" s="59" t="s">
        <v>9</v>
      </c>
      <c r="I27" s="59" t="s">
        <v>6</v>
      </c>
    </row>
    <row r="28" spans="1:9" ht="20.149999999999999" customHeight="1" x14ac:dyDescent="0.6">
      <c r="A28" t="s">
        <v>250</v>
      </c>
      <c r="B28" s="61"/>
      <c r="C28" s="61"/>
      <c r="D28" s="61"/>
      <c r="E28" s="6">
        <v>2</v>
      </c>
      <c r="F28" s="14" t="s">
        <v>11</v>
      </c>
      <c r="G28" s="59" t="s">
        <v>5</v>
      </c>
      <c r="H28" s="59" t="s">
        <v>9</v>
      </c>
      <c r="I28" s="59" t="s">
        <v>6</v>
      </c>
    </row>
    <row r="29" spans="1:9" ht="20.149999999999999" customHeight="1" x14ac:dyDescent="0.6">
      <c r="A29" t="s">
        <v>63</v>
      </c>
      <c r="B29" s="61"/>
      <c r="C29" s="61"/>
      <c r="D29" s="61"/>
      <c r="E29" s="6">
        <v>2</v>
      </c>
      <c r="F29" s="14" t="s">
        <v>11</v>
      </c>
      <c r="G29" s="59" t="s">
        <v>5</v>
      </c>
      <c r="H29" s="59" t="s">
        <v>9</v>
      </c>
      <c r="I29" s="59" t="s">
        <v>6</v>
      </c>
    </row>
    <row r="30" spans="1:9" ht="20.149999999999999" customHeight="1" x14ac:dyDescent="0.6">
      <c r="A30" t="s">
        <v>61</v>
      </c>
      <c r="B30" s="61"/>
      <c r="C30" s="61"/>
      <c r="D30" s="61"/>
      <c r="E30" s="6">
        <v>5</v>
      </c>
      <c r="F30" s="14" t="s">
        <v>11</v>
      </c>
      <c r="G30" s="59" t="s">
        <v>5</v>
      </c>
      <c r="H30" s="59" t="s">
        <v>9</v>
      </c>
      <c r="I30" s="59" t="s">
        <v>6</v>
      </c>
    </row>
    <row r="31" spans="1:9" ht="20.149999999999999" customHeight="1" x14ac:dyDescent="0.6">
      <c r="A31" t="s">
        <v>62</v>
      </c>
      <c r="B31" s="61"/>
      <c r="C31" s="61"/>
      <c r="D31" s="61"/>
      <c r="E31" s="6">
        <v>10</v>
      </c>
      <c r="F31" s="14" t="s">
        <v>11</v>
      </c>
      <c r="G31" s="59" t="s">
        <v>5</v>
      </c>
      <c r="H31" s="59" t="s">
        <v>9</v>
      </c>
      <c r="I31" s="59" t="s">
        <v>6</v>
      </c>
    </row>
    <row r="32" spans="1:9" ht="20.149999999999999" customHeight="1" x14ac:dyDescent="0.6">
      <c r="A32" t="s">
        <v>64</v>
      </c>
      <c r="B32" s="61"/>
      <c r="C32" s="61"/>
      <c r="D32" s="61"/>
      <c r="E32" s="6">
        <v>1</v>
      </c>
      <c r="F32" s="14" t="s">
        <v>11</v>
      </c>
      <c r="G32" s="59" t="s">
        <v>5</v>
      </c>
      <c r="H32" s="59" t="s">
        <v>9</v>
      </c>
      <c r="I32" s="59" t="s">
        <v>6</v>
      </c>
    </row>
    <row r="33" spans="1:9" ht="20.149999999999999" customHeight="1" x14ac:dyDescent="0.6">
      <c r="A33" t="s">
        <v>69</v>
      </c>
      <c r="B33" s="61"/>
      <c r="C33" s="61"/>
      <c r="D33" s="61"/>
      <c r="E33" s="6">
        <v>2</v>
      </c>
      <c r="F33" s="14" t="s">
        <v>11</v>
      </c>
      <c r="G33" s="59" t="s">
        <v>5</v>
      </c>
      <c r="H33" s="59" t="s">
        <v>9</v>
      </c>
      <c r="I33" s="59" t="s">
        <v>6</v>
      </c>
    </row>
    <row r="34" spans="1:9" ht="20.149999999999999" customHeight="1" x14ac:dyDescent="0.6">
      <c r="A34" t="s">
        <v>251</v>
      </c>
      <c r="B34" s="61"/>
      <c r="C34" s="61"/>
      <c r="D34" s="61"/>
      <c r="E34" s="6">
        <v>6</v>
      </c>
      <c r="F34" s="14" t="s">
        <v>11</v>
      </c>
      <c r="G34" s="59" t="s">
        <v>5</v>
      </c>
      <c r="H34" s="59" t="s">
        <v>9</v>
      </c>
      <c r="I34" s="59" t="s">
        <v>6</v>
      </c>
    </row>
    <row r="35" spans="1:9" ht="20.149999999999999" customHeight="1" x14ac:dyDescent="0.6">
      <c r="A35" t="s">
        <v>252</v>
      </c>
      <c r="B35" s="61"/>
      <c r="C35" s="61"/>
      <c r="D35" s="61"/>
      <c r="E35" s="6">
        <v>6</v>
      </c>
      <c r="F35" s="14" t="s">
        <v>11</v>
      </c>
      <c r="G35" s="59" t="s">
        <v>5</v>
      </c>
      <c r="H35" s="59" t="s">
        <v>9</v>
      </c>
      <c r="I35" s="59" t="s">
        <v>6</v>
      </c>
    </row>
    <row r="36" spans="1:9" ht="20.149999999999999" customHeight="1" x14ac:dyDescent="0.6">
      <c r="A36" s="32" t="s">
        <v>253</v>
      </c>
      <c r="B36" s="61"/>
      <c r="C36" s="61"/>
      <c r="D36" s="61"/>
      <c r="E36" s="6">
        <v>12</v>
      </c>
      <c r="F36" s="14" t="s">
        <v>11</v>
      </c>
      <c r="G36" s="59" t="s">
        <v>5</v>
      </c>
      <c r="H36" s="59" t="s">
        <v>9</v>
      </c>
      <c r="I36" s="59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59" t="s">
        <v>13</v>
      </c>
      <c r="D38" s="59" t="s">
        <v>15</v>
      </c>
      <c r="F38" s="59" t="s">
        <v>14</v>
      </c>
      <c r="G38" s="59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71</v>
      </c>
      <c r="C1" s="68"/>
      <c r="D1" s="68"/>
      <c r="E1" s="68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72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4" t="s">
        <v>10</v>
      </c>
      <c r="F5" s="73" t="s">
        <v>7</v>
      </c>
      <c r="G5" s="74"/>
      <c r="H5" s="74"/>
    </row>
    <row r="6" spans="1:9" s="3" customFormat="1" ht="20.149999999999999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.149999999999999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49999999999999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49999999999999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49999999999999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49999999999999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49999999999999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49999999999999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49999999999999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49999999999999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49999999999999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49999999999999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49999999999999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49999999999999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49999999999999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49999999999999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49999999999999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.149999999999999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.149999999999999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.149999999999999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.149999999999999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.149999999999999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.149999999999999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20.149999999999999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20.149999999999999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20.149999999999999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20.149999999999999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20.149999999999999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20.149999999999999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20.149999999999999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20.149999999999999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.149999999999999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.149999999999999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.149999999999999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.149999999999999" customHeight="1" x14ac:dyDescent="0.35">
      <c r="A40" s="4"/>
      <c r="B40" s="4"/>
      <c r="C40" s="4"/>
      <c r="E40" s="4"/>
      <c r="F40" s="4"/>
      <c r="G40" s="4"/>
      <c r="H40" s="4"/>
    </row>
    <row r="41" spans="1:9" ht="20.149999999999999" customHeight="1" thickBot="1" x14ac:dyDescent="0.65">
      <c r="A41" s="71" t="s">
        <v>3</v>
      </c>
      <c r="B41" s="72"/>
      <c r="C41" s="71"/>
      <c r="D41" s="72"/>
      <c r="E41" s="12" t="s">
        <v>10</v>
      </c>
      <c r="F41" s="73" t="s">
        <v>7</v>
      </c>
      <c r="G41" s="74"/>
      <c r="H41" s="74"/>
      <c r="I41" s="3"/>
    </row>
    <row r="42" spans="1:9" ht="20.149999999999999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76" t="s">
        <v>5</v>
      </c>
      <c r="H42" s="76"/>
      <c r="I42" s="26" t="s">
        <v>6</v>
      </c>
    </row>
    <row r="43" spans="1:9" ht="20.149999999999999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75" t="s">
        <v>5</v>
      </c>
      <c r="H43" s="75"/>
      <c r="I43" s="25" t="s">
        <v>6</v>
      </c>
    </row>
    <row r="44" spans="1:9" ht="20.149999999999999" customHeight="1" x14ac:dyDescent="0.6">
      <c r="A44" s="10"/>
      <c r="B44" s="10"/>
      <c r="C44" s="10"/>
      <c r="D44" s="19"/>
      <c r="E44" s="10"/>
      <c r="F44" s="14" t="s">
        <v>11</v>
      </c>
      <c r="G44" s="75" t="s">
        <v>5</v>
      </c>
      <c r="H44" s="75"/>
      <c r="I44" s="25" t="s">
        <v>6</v>
      </c>
    </row>
    <row r="45" spans="1:9" ht="20.149999999999999" customHeight="1" x14ac:dyDescent="0.6">
      <c r="A45" s="10"/>
      <c r="B45" s="10"/>
      <c r="C45" s="10"/>
      <c r="D45" s="19"/>
      <c r="E45" s="10"/>
      <c r="F45" s="14" t="s">
        <v>11</v>
      </c>
      <c r="G45" s="75" t="s">
        <v>5</v>
      </c>
      <c r="H45" s="75"/>
      <c r="I45" s="25" t="s">
        <v>6</v>
      </c>
    </row>
    <row r="46" spans="1:9" ht="20.149999999999999" customHeight="1" x14ac:dyDescent="0.6">
      <c r="A46" s="10"/>
      <c r="B46" s="10"/>
      <c r="C46" s="10"/>
      <c r="D46" s="19"/>
      <c r="E46" s="10"/>
      <c r="F46" s="14" t="s">
        <v>11</v>
      </c>
      <c r="G46" s="75" t="s">
        <v>5</v>
      </c>
      <c r="H46" s="75"/>
      <c r="I46" s="25" t="s">
        <v>6</v>
      </c>
    </row>
    <row r="47" spans="1:9" ht="20.149999999999999" customHeight="1" x14ac:dyDescent="0.6">
      <c r="A47" s="10"/>
      <c r="B47" s="10"/>
      <c r="C47" s="10"/>
      <c r="D47" s="19"/>
      <c r="E47" s="10"/>
      <c r="F47" s="14" t="s">
        <v>11</v>
      </c>
      <c r="G47" s="75" t="s">
        <v>5</v>
      </c>
      <c r="H47" s="75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97</v>
      </c>
      <c r="C1" s="68"/>
      <c r="D1" s="68"/>
      <c r="E1" s="68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98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4" t="s">
        <v>10</v>
      </c>
      <c r="F5" s="73" t="s">
        <v>7</v>
      </c>
      <c r="G5" s="74"/>
      <c r="H5" s="74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1" t="s">
        <v>3</v>
      </c>
      <c r="B27" s="72"/>
      <c r="C27" s="71"/>
      <c r="D27" s="72"/>
      <c r="E27" s="12" t="s">
        <v>10</v>
      </c>
      <c r="F27" s="73" t="s">
        <v>7</v>
      </c>
      <c r="G27" s="74"/>
      <c r="H27" s="74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76" t="s">
        <v>5</v>
      </c>
      <c r="H28" s="76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75" t="s">
        <v>5</v>
      </c>
      <c r="H29" s="75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75" t="s">
        <v>5</v>
      </c>
      <c r="H30" s="75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75" t="s">
        <v>5</v>
      </c>
      <c r="H31" s="75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75" t="s">
        <v>5</v>
      </c>
      <c r="H32" s="75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75" t="s">
        <v>5</v>
      </c>
      <c r="H33" s="75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179687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116</v>
      </c>
      <c r="C1" s="68"/>
      <c r="D1" s="68"/>
      <c r="E1" s="68"/>
      <c r="F1" s="1"/>
      <c r="G1" s="7" t="s">
        <v>4</v>
      </c>
      <c r="H1">
        <f>SUM(E6:E25)</f>
        <v>17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98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8" t="s">
        <v>10</v>
      </c>
      <c r="F5" s="73" t="s">
        <v>7</v>
      </c>
      <c r="G5" s="74"/>
      <c r="H5" s="74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71" t="s">
        <v>3</v>
      </c>
      <c r="B27" s="72"/>
      <c r="C27" s="71"/>
      <c r="D27" s="72"/>
      <c r="E27" s="12" t="s">
        <v>10</v>
      </c>
      <c r="F27" s="73" t="s">
        <v>7</v>
      </c>
      <c r="G27" s="74"/>
      <c r="H27" s="74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76" t="s">
        <v>5</v>
      </c>
      <c r="H28" s="76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75" t="s">
        <v>5</v>
      </c>
      <c r="H29" s="75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75" t="s">
        <v>5</v>
      </c>
      <c r="H30" s="75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75" t="s">
        <v>5</v>
      </c>
      <c r="H31" s="75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75" t="s">
        <v>5</v>
      </c>
      <c r="H32" s="75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75" t="s">
        <v>5</v>
      </c>
      <c r="H33" s="75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125</v>
      </c>
      <c r="B1" s="100" t="s">
        <v>126</v>
      </c>
      <c r="C1" s="100"/>
      <c r="D1" s="100"/>
      <c r="E1" s="100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69" t="s">
        <v>1</v>
      </c>
      <c r="B3" s="69"/>
      <c r="C3" s="70"/>
      <c r="D3" s="70"/>
      <c r="E3" t="s">
        <v>127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8" t="s">
        <v>10</v>
      </c>
      <c r="F5" s="73" t="s">
        <v>7</v>
      </c>
      <c r="G5" s="74"/>
      <c r="H5" s="74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71" t="s">
        <v>3</v>
      </c>
      <c r="B31" s="72"/>
      <c r="C31" s="71"/>
      <c r="D31" s="72"/>
      <c r="E31" s="12" t="s">
        <v>10</v>
      </c>
      <c r="F31" s="73" t="s">
        <v>7</v>
      </c>
      <c r="G31" s="74"/>
      <c r="H31" s="74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76" t="s">
        <v>5</v>
      </c>
      <c r="H32" s="76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75" t="s">
        <v>5</v>
      </c>
      <c r="H33" s="75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75" t="s">
        <v>5</v>
      </c>
      <c r="H34" s="75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75" t="s">
        <v>5</v>
      </c>
      <c r="H35" s="75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75" t="s">
        <v>5</v>
      </c>
      <c r="H36" s="75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75" t="s">
        <v>5</v>
      </c>
      <c r="H37" s="75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0">
    <tabColor rgb="FF0070C0"/>
  </sheetPr>
  <dimension ref="A1:I41"/>
  <sheetViews>
    <sheetView showGridLines="0" view="pageLayout" zoomScaleNormal="100" workbookViewId="0">
      <selection activeCell="B38" sqref="B38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168</v>
      </c>
      <c r="C1" s="68"/>
      <c r="D1" s="68"/>
      <c r="E1" s="68"/>
      <c r="F1" s="1"/>
      <c r="G1" s="7" t="s">
        <v>4</v>
      </c>
      <c r="H1">
        <f>SUM(E6:E23)</f>
        <v>20</v>
      </c>
    </row>
    <row r="2" spans="1:9" ht="26" x14ac:dyDescent="0.6">
      <c r="G2" s="7" t="s">
        <v>8</v>
      </c>
      <c r="H2">
        <v>108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169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8" t="s">
        <v>10</v>
      </c>
      <c r="F5" s="73" t="s">
        <v>7</v>
      </c>
      <c r="G5" s="74"/>
      <c r="H5" s="74"/>
    </row>
    <row r="6" spans="1:9" s="3" customFormat="1" ht="20.149999999999999" customHeight="1" thickTop="1" x14ac:dyDescent="0.6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/>
      <c r="G14" s="27"/>
      <c r="H14" s="27"/>
      <c r="I14" s="27"/>
    </row>
    <row r="15" spans="1:9" ht="20.149999999999999" customHeight="1" x14ac:dyDescent="0.6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.149999999999999" customHeight="1" x14ac:dyDescent="0.6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.149999999999999" customHeight="1" x14ac:dyDescent="0.6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.149999999999999" customHeight="1" x14ac:dyDescent="0.6">
      <c r="A23" s="53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49999999999999" customHeight="1" x14ac:dyDescent="0.35">
      <c r="A24" s="4"/>
      <c r="B24" s="4"/>
      <c r="C24" s="4"/>
      <c r="E24" s="4"/>
      <c r="F24" s="4"/>
      <c r="G24" s="4"/>
      <c r="H24" s="4"/>
    </row>
    <row r="25" spans="1:9" ht="20.149999999999999" customHeight="1" thickBot="1" x14ac:dyDescent="0.65">
      <c r="A25" s="71" t="s">
        <v>3</v>
      </c>
      <c r="B25" s="72"/>
      <c r="C25" s="71"/>
      <c r="D25" s="72"/>
      <c r="E25" s="12" t="s">
        <v>10</v>
      </c>
      <c r="F25" s="73" t="s">
        <v>7</v>
      </c>
      <c r="G25" s="74"/>
      <c r="H25" s="74"/>
      <c r="I25" s="3"/>
    </row>
    <row r="26" spans="1:9" ht="20.149999999999999" customHeight="1" thickTop="1" x14ac:dyDescent="0.6">
      <c r="A26" s="52" t="s">
        <v>199</v>
      </c>
      <c r="B26" s="17"/>
      <c r="C26" s="17"/>
      <c r="D26" s="18"/>
      <c r="E26" s="6">
        <v>10</v>
      </c>
      <c r="F26" s="15" t="s">
        <v>11</v>
      </c>
      <c r="G26" s="76" t="s">
        <v>5</v>
      </c>
      <c r="H26" s="76"/>
      <c r="I26" s="29" t="s">
        <v>6</v>
      </c>
    </row>
    <row r="27" spans="1:9" ht="20.149999999999999" customHeight="1" x14ac:dyDescent="0.6">
      <c r="A27" s="52" t="s">
        <v>200</v>
      </c>
      <c r="B27" s="10"/>
      <c r="C27" s="10"/>
      <c r="D27" s="19"/>
      <c r="E27" s="6">
        <v>10</v>
      </c>
      <c r="F27" s="14" t="s">
        <v>11</v>
      </c>
      <c r="G27" s="75" t="s">
        <v>5</v>
      </c>
      <c r="H27" s="75"/>
      <c r="I27" s="27" t="s">
        <v>6</v>
      </c>
    </row>
    <row r="28" spans="1:9" ht="20.149999999999999" customHeight="1" x14ac:dyDescent="0.6">
      <c r="A28" s="52" t="s">
        <v>201</v>
      </c>
      <c r="B28" s="10"/>
      <c r="C28" s="10"/>
      <c r="D28" s="19"/>
      <c r="E28" s="6">
        <v>20</v>
      </c>
      <c r="F28" s="14" t="s">
        <v>11</v>
      </c>
      <c r="G28" s="75" t="s">
        <v>5</v>
      </c>
      <c r="H28" s="75"/>
      <c r="I28" s="27" t="s">
        <v>6</v>
      </c>
    </row>
    <row r="29" spans="1:9" ht="20.149999999999999" customHeight="1" x14ac:dyDescent="0.6">
      <c r="A29" s="52" t="s">
        <v>153</v>
      </c>
      <c r="B29" s="10"/>
      <c r="C29" s="10"/>
      <c r="D29" s="19"/>
      <c r="E29" s="6">
        <v>20</v>
      </c>
      <c r="F29" s="14" t="s">
        <v>11</v>
      </c>
      <c r="G29" s="75" t="s">
        <v>5</v>
      </c>
      <c r="H29" s="75"/>
      <c r="I29" s="27" t="s">
        <v>6</v>
      </c>
    </row>
    <row r="30" spans="1:9" ht="20.149999999999999" customHeight="1" x14ac:dyDescent="0.6">
      <c r="A30" s="52" t="s">
        <v>206</v>
      </c>
      <c r="B30" s="10"/>
      <c r="C30" s="10"/>
      <c r="D30" s="19"/>
      <c r="E30" s="6">
        <v>6</v>
      </c>
      <c r="F30" s="14" t="s">
        <v>11</v>
      </c>
      <c r="G30" s="75" t="s">
        <v>5</v>
      </c>
      <c r="H30" s="75"/>
      <c r="I30" s="27" t="s">
        <v>6</v>
      </c>
    </row>
    <row r="31" spans="1:9" ht="20.149999999999999" customHeight="1" x14ac:dyDescent="0.6">
      <c r="A31" s="52" t="s">
        <v>207</v>
      </c>
      <c r="B31" s="10"/>
      <c r="C31" s="10"/>
      <c r="D31" s="19"/>
      <c r="E31" s="6">
        <v>12</v>
      </c>
      <c r="F31" s="14" t="s">
        <v>11</v>
      </c>
      <c r="G31" s="75" t="s">
        <v>5</v>
      </c>
      <c r="H31" s="75"/>
      <c r="I31" s="51" t="s">
        <v>6</v>
      </c>
    </row>
    <row r="32" spans="1:9" ht="20.149999999999999" customHeight="1" x14ac:dyDescent="0.6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.149999999999999" customHeight="1" x14ac:dyDescent="0.6">
      <c r="A33" s="52" t="s">
        <v>199</v>
      </c>
      <c r="B33" s="10"/>
      <c r="C33" s="10"/>
      <c r="D33" s="19"/>
      <c r="E33" s="6">
        <v>9</v>
      </c>
      <c r="F33" s="14" t="s">
        <v>11</v>
      </c>
      <c r="G33" s="75" t="s">
        <v>5</v>
      </c>
      <c r="H33" s="75"/>
      <c r="I33" s="51" t="s">
        <v>6</v>
      </c>
    </row>
    <row r="34" spans="1:9" ht="20.149999999999999" customHeight="1" x14ac:dyDescent="0.6">
      <c r="A34" s="52" t="s">
        <v>201</v>
      </c>
      <c r="B34" s="10"/>
      <c r="C34" s="10"/>
      <c r="D34" s="19"/>
      <c r="E34" s="6">
        <v>18</v>
      </c>
      <c r="F34" s="14" t="s">
        <v>11</v>
      </c>
      <c r="G34" s="75" t="s">
        <v>5</v>
      </c>
      <c r="H34" s="75"/>
      <c r="I34" s="51" t="s">
        <v>6</v>
      </c>
    </row>
    <row r="35" spans="1:9" ht="20.149999999999999" customHeight="1" x14ac:dyDescent="0.6">
      <c r="A35" s="54" t="s">
        <v>217</v>
      </c>
      <c r="B35" s="10"/>
      <c r="C35" s="10"/>
      <c r="D35" s="19"/>
      <c r="E35" s="6">
        <v>2</v>
      </c>
      <c r="F35" s="14" t="s">
        <v>11</v>
      </c>
      <c r="G35" s="75" t="s">
        <v>5</v>
      </c>
      <c r="H35" s="75"/>
      <c r="I35" s="51" t="s">
        <v>6</v>
      </c>
    </row>
    <row r="36" spans="1:9" ht="20.149999999999999" customHeight="1" x14ac:dyDescent="0.6">
      <c r="A36" s="52" t="s">
        <v>221</v>
      </c>
      <c r="B36" s="10"/>
      <c r="C36" s="10"/>
      <c r="D36" s="19"/>
      <c r="E36" s="6">
        <v>1</v>
      </c>
      <c r="F36" s="14" t="s">
        <v>11</v>
      </c>
      <c r="G36" s="75" t="s">
        <v>5</v>
      </c>
      <c r="H36" s="75"/>
      <c r="I36" s="51" t="s">
        <v>6</v>
      </c>
    </row>
    <row r="37" spans="1:9" ht="20.149999999999999" customHeight="1" x14ac:dyDescent="0.6">
      <c r="A37" s="21"/>
      <c r="B37" s="10"/>
      <c r="C37" s="10"/>
      <c r="D37" s="19"/>
      <c r="E37" s="10"/>
      <c r="F37" s="14" t="s">
        <v>11</v>
      </c>
      <c r="G37" s="75" t="s">
        <v>5</v>
      </c>
      <c r="H37" s="75"/>
      <c r="I37" s="51" t="s">
        <v>6</v>
      </c>
    </row>
    <row r="38" spans="1:9" ht="20.149999999999999" customHeight="1" x14ac:dyDescent="0.6">
      <c r="A38" s="21"/>
      <c r="B38" s="10"/>
      <c r="C38" s="10"/>
      <c r="D38" s="19"/>
      <c r="E38" s="10"/>
      <c r="F38" s="14" t="s">
        <v>11</v>
      </c>
      <c r="G38" s="75" t="s">
        <v>5</v>
      </c>
      <c r="H38" s="75"/>
      <c r="I38" s="51" t="s">
        <v>6</v>
      </c>
    </row>
    <row r="39" spans="1:9" ht="20.149999999999999" customHeight="1" x14ac:dyDescent="0.6">
      <c r="A39" s="21"/>
      <c r="B39" s="10"/>
      <c r="C39" s="10"/>
      <c r="D39" s="19"/>
      <c r="E39" s="10"/>
      <c r="F39" s="14" t="s">
        <v>11</v>
      </c>
      <c r="G39" s="75" t="s">
        <v>5</v>
      </c>
      <c r="H39" s="75"/>
      <c r="I39" s="27" t="s">
        <v>6</v>
      </c>
    </row>
    <row r="40" spans="1:9" ht="10.5" customHeight="1" x14ac:dyDescent="0.35">
      <c r="A40" s="4"/>
      <c r="B40" s="4"/>
    </row>
    <row r="41" spans="1:9" ht="26" x14ac:dyDescent="0.6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1:H31"/>
    <mergeCell ref="G33:H33"/>
    <mergeCell ref="G34:H34"/>
    <mergeCell ref="G26:H26"/>
    <mergeCell ref="G27:H27"/>
    <mergeCell ref="G28:H28"/>
    <mergeCell ref="G29:H29"/>
    <mergeCell ref="G30:H30"/>
    <mergeCell ref="B1:E1"/>
    <mergeCell ref="A3:D3"/>
    <mergeCell ref="A5:D5"/>
    <mergeCell ref="F5:H5"/>
    <mergeCell ref="A25:D25"/>
    <mergeCell ref="F25:H25"/>
    <mergeCell ref="G35:H35"/>
    <mergeCell ref="G36:H36"/>
    <mergeCell ref="G37:H37"/>
    <mergeCell ref="G38:H38"/>
    <mergeCell ref="G39:H3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1">
    <tabColor rgb="FF0070C0"/>
  </sheetPr>
  <dimension ref="A1:I34"/>
  <sheetViews>
    <sheetView showGridLines="0" view="pageLayout" topLeftCell="A4" zoomScaleNormal="100" workbookViewId="0">
      <selection activeCell="A10" sqref="A10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68" t="s">
        <v>170</v>
      </c>
      <c r="C1" s="68"/>
      <c r="D1" s="68"/>
      <c r="E1" s="68"/>
      <c r="F1" s="1"/>
      <c r="G1" s="7" t="s">
        <v>4</v>
      </c>
      <c r="H1">
        <f>SUM(E6:E24)</f>
        <v>4</v>
      </c>
    </row>
    <row r="2" spans="1:9" ht="26" x14ac:dyDescent="0.6">
      <c r="G2" s="7" t="s">
        <v>8</v>
      </c>
      <c r="H2">
        <v>0</v>
      </c>
    </row>
    <row r="3" spans="1:9" ht="22.5" customHeight="1" x14ac:dyDescent="0.55000000000000004">
      <c r="A3" s="69" t="s">
        <v>1</v>
      </c>
      <c r="B3" s="69"/>
      <c r="C3" s="70"/>
      <c r="D3" s="70"/>
      <c r="E3" s="20" t="s">
        <v>169</v>
      </c>
    </row>
    <row r="5" spans="1:9" s="3" customFormat="1" ht="49.5" customHeight="1" thickBot="1" x14ac:dyDescent="0.65">
      <c r="A5" s="71" t="s">
        <v>2</v>
      </c>
      <c r="B5" s="71"/>
      <c r="C5" s="71"/>
      <c r="D5" s="72"/>
      <c r="E5" s="28" t="s">
        <v>10</v>
      </c>
      <c r="F5" s="73" t="s">
        <v>7</v>
      </c>
      <c r="G5" s="74"/>
      <c r="H5" s="74"/>
    </row>
    <row r="6" spans="1:9" s="3" customFormat="1" ht="20.149999999999999" customHeight="1" thickTop="1" x14ac:dyDescent="0.6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49999999999999" customHeight="1" x14ac:dyDescent="0.6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49999999999999" customHeight="1" x14ac:dyDescent="0.6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49999999999999" customHeight="1" x14ac:dyDescent="0.6">
      <c r="A9" s="21" t="s">
        <v>222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49999999999999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49999999999999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49999999999999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49999999999999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49999999999999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49999999999999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49999999999999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49999999999999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49999999999999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49999999999999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49999999999999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49999999999999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49999999999999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49999999999999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49999999999999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49999999999999" customHeight="1" x14ac:dyDescent="0.35">
      <c r="A25" s="4"/>
      <c r="B25" s="4"/>
      <c r="C25" s="4"/>
      <c r="E25" s="4"/>
      <c r="F25" s="4"/>
      <c r="G25" s="4"/>
      <c r="H25" s="4"/>
    </row>
    <row r="26" spans="1:9" ht="20.149999999999999" customHeight="1" thickBot="1" x14ac:dyDescent="0.65">
      <c r="A26" s="71" t="s">
        <v>3</v>
      </c>
      <c r="B26" s="72"/>
      <c r="C26" s="71"/>
      <c r="D26" s="72"/>
      <c r="E26" s="12" t="s">
        <v>10</v>
      </c>
      <c r="F26" s="73" t="s">
        <v>7</v>
      </c>
      <c r="G26" s="74"/>
      <c r="H26" s="74"/>
      <c r="I26" s="3"/>
    </row>
    <row r="27" spans="1:9" ht="20.149999999999999" customHeight="1" thickTop="1" x14ac:dyDescent="0.6">
      <c r="A27" s="22"/>
      <c r="B27" s="17"/>
      <c r="C27" s="17"/>
      <c r="D27" s="18"/>
      <c r="E27" s="10"/>
      <c r="F27" s="15" t="s">
        <v>11</v>
      </c>
      <c r="G27" s="76" t="s">
        <v>5</v>
      </c>
      <c r="H27" s="76"/>
      <c r="I27" s="29" t="s">
        <v>6</v>
      </c>
    </row>
    <row r="28" spans="1:9" ht="20.149999999999999" customHeight="1" x14ac:dyDescent="0.6">
      <c r="A28" s="23"/>
      <c r="B28" s="10"/>
      <c r="C28" s="10"/>
      <c r="D28" s="19"/>
      <c r="E28" s="10"/>
      <c r="F28" s="14" t="s">
        <v>11</v>
      </c>
      <c r="G28" s="75" t="s">
        <v>5</v>
      </c>
      <c r="H28" s="75"/>
      <c r="I28" s="27" t="s">
        <v>6</v>
      </c>
    </row>
    <row r="29" spans="1:9" ht="20.149999999999999" customHeight="1" x14ac:dyDescent="0.6">
      <c r="A29" s="10"/>
      <c r="B29" s="10"/>
      <c r="C29" s="10"/>
      <c r="D29" s="19"/>
      <c r="E29" s="10"/>
      <c r="F29" s="14" t="s">
        <v>11</v>
      </c>
      <c r="G29" s="75" t="s">
        <v>5</v>
      </c>
      <c r="H29" s="75"/>
      <c r="I29" s="27" t="s">
        <v>6</v>
      </c>
    </row>
    <row r="30" spans="1:9" ht="20.149999999999999" customHeight="1" x14ac:dyDescent="0.6">
      <c r="A30" s="10"/>
      <c r="B30" s="10"/>
      <c r="C30" s="10"/>
      <c r="D30" s="19"/>
      <c r="E30" s="10"/>
      <c r="F30" s="14" t="s">
        <v>11</v>
      </c>
      <c r="G30" s="75" t="s">
        <v>5</v>
      </c>
      <c r="H30" s="75"/>
      <c r="I30" s="27" t="s">
        <v>6</v>
      </c>
    </row>
    <row r="31" spans="1:9" ht="20.149999999999999" customHeight="1" x14ac:dyDescent="0.6">
      <c r="A31" s="10"/>
      <c r="B31" s="10"/>
      <c r="C31" s="10"/>
      <c r="D31" s="19"/>
      <c r="E31" s="10"/>
      <c r="F31" s="14" t="s">
        <v>11</v>
      </c>
      <c r="G31" s="75" t="s">
        <v>5</v>
      </c>
      <c r="H31" s="75"/>
      <c r="I31" s="27" t="s">
        <v>6</v>
      </c>
    </row>
    <row r="32" spans="1:9" ht="20.149999999999999" customHeight="1" x14ac:dyDescent="0.6">
      <c r="A32" s="10"/>
      <c r="B32" s="10"/>
      <c r="C32" s="10"/>
      <c r="D32" s="19"/>
      <c r="E32" s="10"/>
      <c r="F32" s="14" t="s">
        <v>11</v>
      </c>
      <c r="G32" s="75" t="s">
        <v>5</v>
      </c>
      <c r="H32" s="75"/>
      <c r="I32" s="27" t="s">
        <v>6</v>
      </c>
    </row>
    <row r="33" spans="1:7" ht="10.5" customHeight="1" x14ac:dyDescent="0.35">
      <c r="A33" s="4"/>
      <c r="B33" s="4"/>
    </row>
    <row r="34" spans="1:7" ht="26" x14ac:dyDescent="0.6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Statistique_Kit</vt:lpstr>
      <vt:lpstr>Kit_Montage_Template</vt:lpstr>
      <vt:lpstr>Kit_Montage_Template (2)</vt:lpstr>
      <vt:lpstr>Kit__Transm_Sec</vt:lpstr>
      <vt:lpstr>Kit_Pédalier</vt:lpstr>
      <vt:lpstr>Kit_Carrosserie</vt:lpstr>
      <vt:lpstr>Kit_Direction</vt:lpstr>
      <vt:lpstr>Kit_Roue équipée_AR</vt:lpstr>
      <vt:lpstr>Kit_Roue équipée_AV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Mathieu Pinay</cp:lastModifiedBy>
  <cp:lastPrinted>2019-01-07T15:37:01Z</cp:lastPrinted>
  <dcterms:created xsi:type="dcterms:W3CDTF">2018-03-13T12:23:21Z</dcterms:created>
  <dcterms:modified xsi:type="dcterms:W3CDTF">2019-02-12T14:04:50Z</dcterms:modified>
</cp:coreProperties>
</file>