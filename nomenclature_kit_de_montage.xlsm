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6120" windowHeight="8160" tabRatio="741"/>
  </bookViews>
  <sheets>
    <sheet name="Statistique_Kit" sheetId="10" r:id="rId1"/>
    <sheet name="Kit_Montage_Template" sheetId="1" state="hidden" r:id="rId2"/>
    <sheet name="Kit_Ergonomie" sheetId="16" r:id="rId3"/>
    <sheet name="Kit_Carrosserie" sheetId="3" r:id="rId4"/>
    <sheet name="Kit_Direction" sheetId="4" r:id="rId5"/>
    <sheet name="Kit_Roue équipée" sheetId="5" r:id="rId6"/>
    <sheet name="Kit_Triangles" sheetId="6" r:id="rId7"/>
    <sheet name="Kit_BAR" sheetId="7" r:id="rId8"/>
    <sheet name="Kit_Freinage" sheetId="8" r:id="rId9"/>
    <sheet name="Kit_CircuitCarburant" sheetId="9" r:id="rId10"/>
    <sheet name="Kit_Admission" sheetId="11" r:id="rId11"/>
    <sheet name="Kit_Echappement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C6" i="10"/>
  <c r="D6" i="10"/>
  <c r="B6" i="10"/>
  <c r="A6" i="10"/>
  <c r="D14" i="10" l="1"/>
  <c r="C14" i="10"/>
  <c r="B14" i="10"/>
  <c r="A14" i="10"/>
  <c r="D13" i="10"/>
  <c r="C13" i="10"/>
  <c r="B13" i="10"/>
  <c r="A13" i="10"/>
  <c r="H1" i="12"/>
  <c r="H1" i="11"/>
  <c r="D12" i="10"/>
  <c r="C12" i="10"/>
  <c r="B12" i="10"/>
  <c r="A12" i="10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5" i="10"/>
  <c r="D18" i="10" s="1"/>
  <c r="C5" i="10"/>
  <c r="C18" i="10" s="1"/>
  <c r="B5" i="10"/>
  <c r="A5" i="10"/>
  <c r="H1" i="9"/>
  <c r="H1" i="8"/>
  <c r="H1" i="7" l="1"/>
  <c r="E22" i="6" l="1"/>
  <c r="H1" i="6"/>
  <c r="H1" i="5" l="1"/>
  <c r="H1" i="4" l="1"/>
  <c r="H1" i="3" l="1"/>
  <c r="H1" i="1" l="1"/>
</calcChain>
</file>

<file path=xl/sharedStrings.xml><?xml version="1.0" encoding="utf-8"?>
<sst xmlns="http://schemas.openxmlformats.org/spreadsheetml/2006/main" count="1458" uniqueCount="189">
  <si>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</si>
  <si>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</si>
  <si>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</si>
  <si>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</si>
  <si>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</si>
  <si>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</si>
  <si>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</si>
  <si>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</si>
  <si>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</si>
  <si>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</si>
  <si>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</si>
  <si>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</si>
  <si>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</si>
  <si>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</si>
  <si>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</si>
  <si>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</si>
  <si>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</si>
  <si>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</si>
  <si>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</si>
  <si>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</si>
  <si>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</si>
  <si>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</si>
  <si>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</si>
  <si>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</si>
  <si>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</si>
  <si>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</si>
  <si>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</si>
  <si>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</si>
  <si>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</si>
  <si>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</si>
  <si>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</si>
  <si>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</si>
  <si>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</si>
  <si>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</si>
  <si>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</si>
  <si>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</si>
  <si>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</si>
  <si>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</si>
  <si>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</si>
  <si>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</si>
  <si>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</si>
  <si>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</si>
  <si>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</si>
  <si>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</si>
  <si>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</si>
  <si>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</si>
  <si>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</si>
  <si>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</si>
  <si>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</si>
  <si>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</si>
  <si>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</si>
  <si>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</si>
  <si>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</si>
  <si>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</si>
  <si>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</si>
  <si>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</si>
  <si>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</si>
  <si>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</si>
  <si>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</si>
  <si>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</si>
  <si>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</si>
  <si>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</si>
  <si>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</si>
  <si>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</si>
  <si>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</si>
  <si>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</si>
  <si>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</si>
  <si>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</si>
  <si>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</si>
  <si>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</si>
  <si>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</si>
  <si>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</si>
  <si>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</si>
  <si>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</si>
  <si>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</si>
  <si>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</si>
  <si>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</si>
  <si>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</si>
  <si>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</si>
  <si>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</si>
  <si>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</si>
  <si>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</si>
  <si>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</si>
  <si>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</si>
  <si>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</si>
  <si>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</si>
  <si>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</si>
  <si>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</si>
  <si>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</si>
  <si>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</si>
  <si>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</si>
  <si>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</si>
  <si>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</si>
  <si>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</si>
  <si>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</si>
  <si>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</si>
  <si>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</si>
  <si>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</si>
  <si>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</si>
  <si>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</si>
  <si>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</si>
  <si>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</si>
  <si>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</si>
  <si>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</si>
  <si>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</si>
  <si>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</si>
  <si>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</si>
  <si>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</si>
  <si>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</si>
  <si>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</si>
  <si>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</si>
  <si>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</si>
  <si>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</si>
  <si>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</si>
  <si>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</si>
  <si>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</si>
  <si>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</si>
  <si>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</si>
  <si>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</si>
  <si>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</si>
  <si>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</si>
  <si>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</si>
  <si>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</si>
  <si>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</si>
  <si>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</si>
  <si>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</si>
  <si>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</si>
  <si>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</si>
  <si>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</si>
  <si>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</si>
  <si>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</si>
  <si>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</si>
  <si>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</si>
  <si>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</si>
  <si>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</si>
  <si>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</si>
  <si>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</si>
  <si>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</si>
  <si>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</si>
  <si>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</si>
  <si>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</si>
  <si>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</si>
  <si>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</si>
  <si>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</si>
  <si>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</si>
  <si>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</si>
  <si>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</si>
  <si>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</si>
  <si>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</si>
  <si>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</si>
  <si>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</si>
  <si>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</si>
  <si>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</si>
  <si>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</si>
  <si>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</si>
  <si>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</si>
  <si>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</si>
  <si>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</si>
  <si>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</si>
  <si>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</si>
  <si>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</si>
  <si>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</si>
  <si>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</si>
  <si>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</si>
  <si>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</si>
  <si>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</si>
  <si>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</si>
  <si>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</si>
  <si>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</si>
  <si>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</si>
  <si>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</si>
  <si>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</si>
  <si>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Ergonomie</t>
  </si>
  <si>
    <t>Yohan (YRI)</t>
  </si>
  <si>
    <t>Volant Carbone</t>
  </si>
  <si>
    <t>Entretoise volant</t>
  </si>
  <si>
    <t>Palettes</t>
  </si>
  <si>
    <t>Baquet T6</t>
  </si>
  <si>
    <t>Ceinture harnais (stock à Bron)</t>
  </si>
  <si>
    <t>Quick Realese (stock à Bron)</t>
  </si>
  <si>
    <t>Œillet harnais (stock à Bron)</t>
  </si>
  <si>
    <t>Mousse protection tubes (stock à Bron)</t>
  </si>
  <si>
    <t xml:space="preserve">Tableau de Bord </t>
  </si>
  <si>
    <t>Tableau de bord</t>
  </si>
  <si>
    <t>Carte avant</t>
  </si>
  <si>
    <t>Carte arrière</t>
  </si>
  <si>
    <t>Bob Aubouin</t>
  </si>
  <si>
    <t>M6x30</t>
  </si>
  <si>
    <t>écrou œillet harnais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</si>
</sst>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0" fillId="0" borderId="16" xfId="0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0" fillId="6" borderId="15" xfId="0" applyFont="1" applyFill="1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8"/>
  <sheetViews>
    <sheetView showGridLines="0" tabSelected="1" view="pageLayout" zoomScaleNormal="100" workbookViewId="0">
      <selection activeCell="D11" sqref="D11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7265625" customWidth="1"/>
    <col min="7" max="7" width="16.36328125" customWidth="1"/>
  </cols>
  <sheetData>
    <row r="2" spans="1:5" x14ac:dyDescent="0.35">
      <c r="A2" s="35" t="s">
        <v>160</v>
      </c>
      <c r="B2" s="52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53"/>
    </row>
    <row r="6" spans="1:5" x14ac:dyDescent="0.35">
      <c r="A6" s="39" t="str">
        <f>Kit_Ergonomie!B1</f>
        <v>Ergonomie</v>
      </c>
      <c r="B6" s="36" t="str">
        <f>Kit_Ergonomie!E3</f>
        <v>Yohan (YRI)</v>
      </c>
      <c r="C6" s="36">
        <f>Kit_Ergonomie!H1</f>
        <v>25</v>
      </c>
      <c r="D6" s="36">
        <f>Kit_Ergonomie!H2</f>
        <v>99</v>
      </c>
      <c r="E6" s="53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53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53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53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53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15</v>
      </c>
      <c r="D11" s="36">
        <f>Kit_Freinage!H2</f>
        <v>99</v>
      </c>
      <c r="E11" s="53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53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0</v>
      </c>
      <c r="D13" s="36">
        <f>Kit_Admission!H2</f>
        <v>99</v>
      </c>
      <c r="E13" s="53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0</v>
      </c>
      <c r="D14" s="36">
        <f>Kit_Echappement!H2</f>
        <v>99</v>
      </c>
      <c r="E14" s="53"/>
    </row>
    <row r="15" spans="1:5" x14ac:dyDescent="0.35">
      <c r="A15" s="60" t="s">
        <v>183</v>
      </c>
      <c r="B15" s="36" t="s">
        <v>186</v>
      </c>
      <c r="C15" s="36"/>
      <c r="D15" s="36"/>
      <c r="E15" s="53"/>
    </row>
    <row r="16" spans="1:5" x14ac:dyDescent="0.35">
      <c r="A16" s="60" t="s">
        <v>185</v>
      </c>
      <c r="B16" s="36" t="s">
        <v>186</v>
      </c>
      <c r="C16" s="36"/>
      <c r="D16" s="36"/>
      <c r="E16" s="53"/>
    </row>
    <row r="17" spans="1:5" x14ac:dyDescent="0.35">
      <c r="A17" s="60" t="s">
        <v>184</v>
      </c>
      <c r="B17" s="36" t="s">
        <v>186</v>
      </c>
      <c r="C17" s="36"/>
      <c r="D17" s="36"/>
      <c r="E17" s="53"/>
    </row>
    <row r="18" spans="1:5" x14ac:dyDescent="0.35">
      <c r="B18" s="37" t="s">
        <v>171</v>
      </c>
      <c r="C18" s="36">
        <f>SUM(C5:C17)</f>
        <v>250</v>
      </c>
      <c r="D18" s="36">
        <f>SUM(D5:D17)</f>
        <v>990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/>
      <c r="C1" s="47"/>
      <c r="D1" s="47"/>
      <c r="E1" s="47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48" t="s">
        <v>1</v>
      </c>
      <c r="B3" s="48"/>
      <c r="C3" s="49"/>
      <c r="D3" s="49"/>
      <c r="E3" s="20"/>
    </row>
    <row r="5" spans="1:9" s="3" customFormat="1" ht="49.5" customHeight="1" thickBot="1" x14ac:dyDescent="0.65">
      <c r="A5" s="42" t="s">
        <v>2</v>
      </c>
      <c r="B5" s="42"/>
      <c r="C5" s="42"/>
      <c r="D5" s="43"/>
      <c r="E5" s="9" t="s">
        <v>10</v>
      </c>
      <c r="F5" s="44" t="s">
        <v>7</v>
      </c>
      <c r="G5" s="45"/>
      <c r="H5" s="45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6" t="s">
        <v>5</v>
      </c>
      <c r="H28" s="46"/>
      <c r="I28" s="16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1" t="s">
        <v>5</v>
      </c>
      <c r="H29" s="41"/>
      <c r="I29" s="13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1" t="s">
        <v>5</v>
      </c>
      <c r="H30" s="41"/>
      <c r="I30" s="13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1" t="s">
        <v>5</v>
      </c>
      <c r="H31" s="41"/>
      <c r="I31" s="13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1" t="s">
        <v>5</v>
      </c>
      <c r="H32" s="41"/>
      <c r="I32" s="13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5"/>
  <sheetViews>
    <sheetView showGridLines="0" view="pageLayout" zoomScaleNormal="100" workbookViewId="0">
      <selection activeCell="E33" sqref="E3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172</v>
      </c>
      <c r="C1" s="47"/>
      <c r="D1" s="47"/>
      <c r="E1" s="47"/>
      <c r="F1" s="1"/>
      <c r="G1" s="7" t="s">
        <v>4</v>
      </c>
      <c r="H1">
        <f>SUM(E6:E34)</f>
        <v>25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173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8" t="s">
        <v>10</v>
      </c>
      <c r="F5" s="44" t="s">
        <v>7</v>
      </c>
      <c r="G5" s="45"/>
      <c r="H5" s="45"/>
    </row>
    <row r="6" spans="1:9" s="3" customFormat="1" ht="19.899999999999999" customHeight="1" thickTop="1" x14ac:dyDescent="0.6">
      <c r="A6" s="56" t="s">
        <v>174</v>
      </c>
      <c r="B6" s="56"/>
      <c r="C6" s="56"/>
      <c r="D6" s="5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58" t="s">
        <v>179</v>
      </c>
      <c r="B7" s="58"/>
      <c r="C7" s="58"/>
      <c r="D7" s="59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58" t="s">
        <v>175</v>
      </c>
      <c r="B8" s="58"/>
      <c r="C8" s="58"/>
      <c r="D8" s="59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58" t="s">
        <v>176</v>
      </c>
      <c r="B9" s="58"/>
      <c r="C9" s="58"/>
      <c r="D9" s="59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58" t="s">
        <v>177</v>
      </c>
      <c r="B10" s="58"/>
      <c r="C10" s="58"/>
      <c r="D10" s="59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8" t="s">
        <v>178</v>
      </c>
      <c r="B11" s="58"/>
      <c r="C11" s="58"/>
      <c r="D11" s="59"/>
      <c r="E11" s="6">
        <v>6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8" t="s">
        <v>180</v>
      </c>
      <c r="B12" s="58"/>
      <c r="C12" s="58"/>
      <c r="D12" s="59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8" t="s">
        <v>181</v>
      </c>
      <c r="B13" s="58"/>
      <c r="C13" s="58"/>
      <c r="D13" s="59"/>
      <c r="E13" s="6">
        <v>6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8" t="s">
        <v>182</v>
      </c>
      <c r="B14" s="58"/>
      <c r="C14" s="58"/>
      <c r="D14" s="59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4"/>
      <c r="B15" s="54"/>
      <c r="C15" s="54"/>
      <c r="D15" s="5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4"/>
      <c r="B16" s="54"/>
      <c r="C16" s="54"/>
      <c r="D16" s="5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4"/>
      <c r="B17" s="54"/>
      <c r="C17" s="54"/>
      <c r="D17" s="5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4"/>
      <c r="B18" s="54"/>
      <c r="C18" s="54"/>
      <c r="D18" s="5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4"/>
      <c r="B19" s="54"/>
      <c r="C19" s="54"/>
      <c r="D19" s="5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4"/>
      <c r="B20" s="54"/>
      <c r="C20" s="54"/>
      <c r="D20" s="5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4"/>
      <c r="B21" s="54"/>
      <c r="C21" s="54"/>
      <c r="D21" s="5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4"/>
      <c r="B22" s="54"/>
      <c r="C22" s="54"/>
      <c r="D22" s="5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4"/>
      <c r="B23" s="54"/>
      <c r="C23" s="54"/>
      <c r="D23" s="5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4"/>
      <c r="B24" s="54"/>
      <c r="C24" s="54"/>
      <c r="D24" s="5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4"/>
      <c r="B25" s="54"/>
      <c r="C25" s="54"/>
      <c r="D25" s="5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899999999999999" customHeight="1" thickTop="1" x14ac:dyDescent="0.6">
      <c r="A28" s="61" t="s">
        <v>187</v>
      </c>
      <c r="B28" s="61"/>
      <c r="C28" s="61"/>
      <c r="D28" s="62"/>
      <c r="E28" s="10">
        <v>3</v>
      </c>
      <c r="F28" s="15" t="s">
        <v>11</v>
      </c>
      <c r="G28" s="46" t="s">
        <v>5</v>
      </c>
      <c r="H28" s="46"/>
      <c r="I28" s="29" t="s">
        <v>6</v>
      </c>
    </row>
    <row r="29" spans="1:9" ht="19.899999999999999" customHeight="1" x14ac:dyDescent="0.6">
      <c r="A29" s="63" t="s">
        <v>188</v>
      </c>
      <c r="B29" s="63"/>
      <c r="C29" s="63"/>
      <c r="D29" s="64"/>
      <c r="E29" s="10">
        <v>2</v>
      </c>
      <c r="F29" s="14" t="s">
        <v>11</v>
      </c>
      <c r="G29" s="41" t="s">
        <v>5</v>
      </c>
      <c r="H29" s="41"/>
      <c r="I29" s="27" t="s">
        <v>6</v>
      </c>
    </row>
    <row r="30" spans="1:9" ht="19.899999999999999" customHeight="1" x14ac:dyDescent="0.6">
      <c r="A30" s="65"/>
      <c r="B30" s="65"/>
      <c r="C30" s="65"/>
      <c r="D30" s="66"/>
      <c r="E30" s="10"/>
      <c r="F30" s="14" t="s">
        <v>11</v>
      </c>
      <c r="G30" s="41" t="s">
        <v>5</v>
      </c>
      <c r="H30" s="41"/>
      <c r="I30" s="27" t="s">
        <v>6</v>
      </c>
    </row>
    <row r="31" spans="1:9" ht="19.899999999999999" customHeight="1" x14ac:dyDescent="0.6">
      <c r="A31" s="65"/>
      <c r="B31" s="65"/>
      <c r="C31" s="65"/>
      <c r="D31" s="66"/>
      <c r="E31" s="10"/>
      <c r="F31" s="14" t="s">
        <v>11</v>
      </c>
      <c r="G31" s="41" t="s">
        <v>5</v>
      </c>
      <c r="H31" s="41"/>
      <c r="I31" s="27" t="s">
        <v>6</v>
      </c>
    </row>
    <row r="32" spans="1:9" ht="19.899999999999999" customHeight="1" x14ac:dyDescent="0.6">
      <c r="A32" s="65"/>
      <c r="B32" s="65"/>
      <c r="C32" s="65"/>
      <c r="D32" s="66"/>
      <c r="E32" s="10"/>
      <c r="F32" s="14" t="s">
        <v>11</v>
      </c>
      <c r="G32" s="41" t="s">
        <v>5</v>
      </c>
      <c r="H32" s="41"/>
      <c r="I32" s="27" t="s">
        <v>6</v>
      </c>
    </row>
    <row r="33" spans="1:9" ht="19.899999999999999" customHeight="1" x14ac:dyDescent="0.6">
      <c r="A33" s="65"/>
      <c r="B33" s="65"/>
      <c r="C33" s="65"/>
      <c r="D33" s="66"/>
      <c r="E33" s="10"/>
      <c r="F33" s="14" t="s">
        <v>11</v>
      </c>
      <c r="G33" s="41" t="s">
        <v>5</v>
      </c>
      <c r="H33" s="41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38">
    <mergeCell ref="A25:D25"/>
    <mergeCell ref="A28:D28"/>
    <mergeCell ref="A29:D29"/>
    <mergeCell ref="A30:D30"/>
    <mergeCell ref="A31:D31"/>
    <mergeCell ref="A32:D32"/>
    <mergeCell ref="A33:D33"/>
    <mergeCell ref="A20:D20"/>
    <mergeCell ref="A21:D21"/>
    <mergeCell ref="A22:D22"/>
    <mergeCell ref="A23:D23"/>
    <mergeCell ref="A24:D24"/>
    <mergeCell ref="A15:D15"/>
    <mergeCell ref="A16:D16"/>
    <mergeCell ref="A17:D17"/>
    <mergeCell ref="A18:D18"/>
    <mergeCell ref="A19:D19"/>
    <mergeCell ref="G33:H33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17</v>
      </c>
      <c r="C1" s="47"/>
      <c r="D1" s="47"/>
      <c r="E1" s="47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166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4" t="s">
        <v>10</v>
      </c>
      <c r="F5" s="44" t="s">
        <v>7</v>
      </c>
      <c r="G5" s="45"/>
      <c r="H5" s="45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6" t="s">
        <v>5</v>
      </c>
      <c r="H28" s="46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1" t="s">
        <v>5</v>
      </c>
      <c r="H29" s="41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1" t="s">
        <v>5</v>
      </c>
      <c r="H30" s="41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1" t="s">
        <v>5</v>
      </c>
      <c r="H31" s="41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1" t="s">
        <v>5</v>
      </c>
      <c r="H32" s="4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25</v>
      </c>
      <c r="C1" s="47"/>
      <c r="D1" s="47"/>
      <c r="E1" s="47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50" t="s">
        <v>26</v>
      </c>
      <c r="F3" s="50"/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4" t="s">
        <v>10</v>
      </c>
      <c r="F5" s="44" t="s">
        <v>7</v>
      </c>
      <c r="G5" s="45"/>
      <c r="H5" s="45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6" t="s">
        <v>5</v>
      </c>
      <c r="H28" s="46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1" t="s">
        <v>5</v>
      </c>
      <c r="H29" s="41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41" t="s">
        <v>5</v>
      </c>
      <c r="H30" s="41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41" t="s">
        <v>5</v>
      </c>
      <c r="H31" s="41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41" t="s">
        <v>5</v>
      </c>
      <c r="H32" s="4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1.5" customHeight="1" x14ac:dyDescent="0.6">
      <c r="A1" s="2" t="s">
        <v>0</v>
      </c>
      <c r="B1" s="47" t="s">
        <v>40</v>
      </c>
      <c r="C1" s="47"/>
      <c r="D1" s="47"/>
      <c r="E1" s="47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41</v>
      </c>
    </row>
    <row r="5" spans="1:9" s="3" customFormat="1" ht="20" customHeight="1" thickBot="1" x14ac:dyDescent="0.65">
      <c r="A5" s="42" t="s">
        <v>2</v>
      </c>
      <c r="B5" s="42"/>
      <c r="C5" s="42"/>
      <c r="D5" s="43"/>
      <c r="E5" s="24" t="s">
        <v>10</v>
      </c>
      <c r="F5" s="44" t="s">
        <v>7</v>
      </c>
      <c r="G5" s="45"/>
      <c r="H5" s="45"/>
    </row>
    <row r="6" spans="1:9" ht="19.899999999999999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19.899999999999999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99999999999999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99999999999999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19.899999999999999" customHeight="1" thickBot="1" x14ac:dyDescent="0.65">
      <c r="A26" s="42" t="s">
        <v>3</v>
      </c>
      <c r="B26" s="42"/>
      <c r="C26" s="42"/>
      <c r="D26" s="43"/>
      <c r="E26" s="12" t="s">
        <v>10</v>
      </c>
      <c r="F26" s="44" t="s">
        <v>7</v>
      </c>
      <c r="G26" s="45"/>
      <c r="H26" s="45"/>
      <c r="I26" s="3"/>
    </row>
    <row r="27" spans="1:9" ht="19.899999999999999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19.899999999999999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19.899999999999999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19.899999999999999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19.899999999999999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19.899999999999999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19.899999999999999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19.899999999999999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19.899999999999999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19.899999999999999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71</v>
      </c>
      <c r="C1" s="47"/>
      <c r="D1" s="47"/>
      <c r="E1" s="47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72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4" t="s">
        <v>10</v>
      </c>
      <c r="F5" s="44" t="s">
        <v>7</v>
      </c>
      <c r="G5" s="45"/>
      <c r="H5" s="45"/>
    </row>
    <row r="6" spans="1:9" s="3" customFormat="1" ht="19.899999999999999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99999999999999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99999999999999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99999999999999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99999999999999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99999999999999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99999999999999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99999999999999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99999999999999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99999999999999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99999999999999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99999999999999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99999999999999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99999999999999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99999999999999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99999999999999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99999999999999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19.899999999999999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19.899999999999999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19.899999999999999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19.899999999999999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19.899999999999999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19.899999999999999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19.899999999999999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19.899999999999999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19.899999999999999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19.899999999999999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19.899999999999999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19.899999999999999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19.899999999999999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19.899999999999999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19.899999999999999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19.899999999999999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19.899999999999999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19.899999999999999" customHeight="1" x14ac:dyDescent="0.35">
      <c r="A40" s="4"/>
      <c r="B40" s="4"/>
      <c r="C40" s="4"/>
      <c r="E40" s="4"/>
      <c r="F40" s="4"/>
      <c r="G40" s="4"/>
      <c r="H40" s="4"/>
    </row>
    <row r="41" spans="1:9" ht="19.899999999999999" customHeight="1" thickBot="1" x14ac:dyDescent="0.65">
      <c r="A41" s="42" t="s">
        <v>3</v>
      </c>
      <c r="B41" s="43"/>
      <c r="C41" s="42"/>
      <c r="D41" s="43"/>
      <c r="E41" s="12" t="s">
        <v>10</v>
      </c>
      <c r="F41" s="44" t="s">
        <v>7</v>
      </c>
      <c r="G41" s="45"/>
      <c r="H41" s="45"/>
      <c r="I41" s="3"/>
    </row>
    <row r="42" spans="1:9" ht="19.899999999999999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46" t="s">
        <v>5</v>
      </c>
      <c r="H42" s="46"/>
      <c r="I42" s="26" t="s">
        <v>6</v>
      </c>
    </row>
    <row r="43" spans="1:9" ht="19.899999999999999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41" t="s">
        <v>5</v>
      </c>
      <c r="H43" s="41"/>
      <c r="I43" s="25" t="s">
        <v>6</v>
      </c>
    </row>
    <row r="44" spans="1:9" ht="19.899999999999999" customHeight="1" x14ac:dyDescent="0.6">
      <c r="A44" s="10"/>
      <c r="B44" s="10"/>
      <c r="C44" s="10"/>
      <c r="D44" s="19"/>
      <c r="E44" s="10"/>
      <c r="F44" s="14" t="s">
        <v>11</v>
      </c>
      <c r="G44" s="41" t="s">
        <v>5</v>
      </c>
      <c r="H44" s="41"/>
      <c r="I44" s="25" t="s">
        <v>6</v>
      </c>
    </row>
    <row r="45" spans="1:9" ht="19.899999999999999" customHeight="1" x14ac:dyDescent="0.6">
      <c r="A45" s="10"/>
      <c r="B45" s="10"/>
      <c r="C45" s="10"/>
      <c r="D45" s="19"/>
      <c r="E45" s="10"/>
      <c r="F45" s="14" t="s">
        <v>11</v>
      </c>
      <c r="G45" s="41" t="s">
        <v>5</v>
      </c>
      <c r="H45" s="41"/>
      <c r="I45" s="25" t="s">
        <v>6</v>
      </c>
    </row>
    <row r="46" spans="1:9" ht="19.899999999999999" customHeight="1" x14ac:dyDescent="0.6">
      <c r="A46" s="10"/>
      <c r="B46" s="10"/>
      <c r="C46" s="10"/>
      <c r="D46" s="19"/>
      <c r="E46" s="10"/>
      <c r="F46" s="14" t="s">
        <v>11</v>
      </c>
      <c r="G46" s="41" t="s">
        <v>5</v>
      </c>
      <c r="H46" s="41"/>
      <c r="I46" s="25" t="s">
        <v>6</v>
      </c>
    </row>
    <row r="47" spans="1:9" ht="19.899999999999999" customHeight="1" x14ac:dyDescent="0.6">
      <c r="A47" s="10"/>
      <c r="B47" s="10"/>
      <c r="C47" s="10"/>
      <c r="D47" s="19"/>
      <c r="E47" s="10"/>
      <c r="F47" s="14" t="s">
        <v>11</v>
      </c>
      <c r="G47" s="41" t="s">
        <v>5</v>
      </c>
      <c r="H47" s="41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97</v>
      </c>
      <c r="C1" s="47"/>
      <c r="D1" s="47"/>
      <c r="E1" s="47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98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4" t="s">
        <v>10</v>
      </c>
      <c r="F5" s="44" t="s">
        <v>7</v>
      </c>
      <c r="G5" s="45"/>
      <c r="H5" s="45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46" t="s">
        <v>5</v>
      </c>
      <c r="H28" s="46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41" t="s">
        <v>5</v>
      </c>
      <c r="H29" s="41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41" t="s">
        <v>5</v>
      </c>
      <c r="H30" s="41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41" t="s">
        <v>5</v>
      </c>
      <c r="H31" s="41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41" t="s">
        <v>5</v>
      </c>
      <c r="H32" s="41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26953125" customWidth="1"/>
    <col min="6" max="6" width="21.90625" customWidth="1"/>
    <col min="7" max="7" width="8.08984375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116</v>
      </c>
      <c r="C1" s="47"/>
      <c r="D1" s="47"/>
      <c r="E1" s="47"/>
      <c r="F1" s="1"/>
      <c r="G1" s="7" t="s">
        <v>4</v>
      </c>
      <c r="H1">
        <f>SUM(E6:E25)</f>
        <v>15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98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8" t="s">
        <v>10</v>
      </c>
      <c r="F5" s="44" t="s">
        <v>7</v>
      </c>
      <c r="G5" s="45"/>
      <c r="H5" s="45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46" t="s">
        <v>5</v>
      </c>
      <c r="H28" s="46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41" t="s">
        <v>5</v>
      </c>
      <c r="H29" s="41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41" t="s">
        <v>5</v>
      </c>
      <c r="H30" s="41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41" t="s">
        <v>5</v>
      </c>
      <c r="H31" s="41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41" t="s">
        <v>5</v>
      </c>
      <c r="H32" s="41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26953125" customWidth="1"/>
    <col min="9" max="9" width="9.453125" customWidth="1"/>
  </cols>
  <sheetData>
    <row r="1" spans="1:9" ht="26" x14ac:dyDescent="0.6">
      <c r="A1" s="2" t="s">
        <v>125</v>
      </c>
      <c r="B1" s="51" t="s">
        <v>126</v>
      </c>
      <c r="C1" s="51"/>
      <c r="D1" s="51"/>
      <c r="E1" s="51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t="s">
        <v>127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8" t="s">
        <v>10</v>
      </c>
      <c r="F5" s="44" t="s">
        <v>7</v>
      </c>
      <c r="G5" s="45"/>
      <c r="H5" s="45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42" t="s">
        <v>3</v>
      </c>
      <c r="B31" s="43"/>
      <c r="C31" s="42"/>
      <c r="D31" s="43"/>
      <c r="E31" s="12" t="s">
        <v>10</v>
      </c>
      <c r="F31" s="44" t="s">
        <v>7</v>
      </c>
      <c r="G31" s="45"/>
      <c r="H31" s="45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46" t="s">
        <v>5</v>
      </c>
      <c r="H32" s="46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41" t="s">
        <v>5</v>
      </c>
      <c r="H33" s="41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41" t="s">
        <v>5</v>
      </c>
      <c r="H34" s="41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41" t="s">
        <v>5</v>
      </c>
      <c r="H35" s="41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41" t="s">
        <v>5</v>
      </c>
      <c r="H36" s="41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41" t="s">
        <v>5</v>
      </c>
      <c r="H37" s="41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168</v>
      </c>
      <c r="C1" s="47"/>
      <c r="D1" s="47"/>
      <c r="E1" s="47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169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8" t="s">
        <v>10</v>
      </c>
      <c r="F5" s="44" t="s">
        <v>7</v>
      </c>
      <c r="G5" s="45"/>
      <c r="H5" s="45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6" t="s">
        <v>5</v>
      </c>
      <c r="H28" s="46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1" t="s">
        <v>5</v>
      </c>
      <c r="H29" s="41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1" t="s">
        <v>5</v>
      </c>
      <c r="H30" s="41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1" t="s">
        <v>5</v>
      </c>
      <c r="H31" s="41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1" t="s">
        <v>5</v>
      </c>
      <c r="H32" s="41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26953125" customWidth="1"/>
    <col min="6" max="6" width="22" customWidth="1"/>
    <col min="7" max="7" width="8" customWidth="1"/>
    <col min="8" max="8" width="9.26953125" customWidth="1"/>
    <col min="9" max="9" width="9.453125" customWidth="1"/>
  </cols>
  <sheetData>
    <row r="1" spans="1:9" ht="26" x14ac:dyDescent="0.6">
      <c r="A1" s="2" t="s">
        <v>0</v>
      </c>
      <c r="B1" s="47" t="s">
        <v>170</v>
      </c>
      <c r="C1" s="47"/>
      <c r="D1" s="47"/>
      <c r="E1" s="47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48" t="s">
        <v>1</v>
      </c>
      <c r="B3" s="48"/>
      <c r="C3" s="49"/>
      <c r="D3" s="49"/>
      <c r="E3" s="20" t="s">
        <v>169</v>
      </c>
    </row>
    <row r="5" spans="1:9" s="3" customFormat="1" ht="49.5" customHeight="1" thickBot="1" x14ac:dyDescent="0.65">
      <c r="A5" s="42" t="s">
        <v>2</v>
      </c>
      <c r="B5" s="42"/>
      <c r="C5" s="42"/>
      <c r="D5" s="43"/>
      <c r="E5" s="28" t="s">
        <v>10</v>
      </c>
      <c r="F5" s="44" t="s">
        <v>7</v>
      </c>
      <c r="G5" s="45"/>
      <c r="H5" s="45"/>
    </row>
    <row r="6" spans="1:9" s="3" customFormat="1" ht="19.899999999999999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99999999999999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99999999999999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99999999999999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9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9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9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9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9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9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9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9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9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9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9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9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9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9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9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99999999999999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99999999999999" customHeight="1" x14ac:dyDescent="0.35">
      <c r="A26" s="4"/>
      <c r="B26" s="4"/>
      <c r="C26" s="4"/>
      <c r="E26" s="4"/>
      <c r="F26" s="4"/>
      <c r="G26" s="4"/>
      <c r="H26" s="4"/>
    </row>
    <row r="27" spans="1:9" ht="19.899999999999999" customHeight="1" thickBot="1" x14ac:dyDescent="0.65">
      <c r="A27" s="42" t="s">
        <v>3</v>
      </c>
      <c r="B27" s="43"/>
      <c r="C27" s="42"/>
      <c r="D27" s="43"/>
      <c r="E27" s="12" t="s">
        <v>10</v>
      </c>
      <c r="F27" s="44" t="s">
        <v>7</v>
      </c>
      <c r="G27" s="45"/>
      <c r="H27" s="45"/>
      <c r="I27" s="3"/>
    </row>
    <row r="28" spans="1:9" ht="19.899999999999999" customHeight="1" thickTop="1" x14ac:dyDescent="0.6">
      <c r="A28" s="22"/>
      <c r="B28" s="17"/>
      <c r="C28" s="17"/>
      <c r="D28" s="18"/>
      <c r="E28" s="10"/>
      <c r="F28" s="15" t="s">
        <v>11</v>
      </c>
      <c r="G28" s="46" t="s">
        <v>5</v>
      </c>
      <c r="H28" s="46"/>
      <c r="I28" s="29" t="s">
        <v>6</v>
      </c>
    </row>
    <row r="29" spans="1:9" ht="19.899999999999999" customHeight="1" x14ac:dyDescent="0.6">
      <c r="A29" s="23"/>
      <c r="B29" s="10"/>
      <c r="C29" s="10"/>
      <c r="D29" s="19"/>
      <c r="E29" s="10"/>
      <c r="F29" s="14" t="s">
        <v>11</v>
      </c>
      <c r="G29" s="41" t="s">
        <v>5</v>
      </c>
      <c r="H29" s="41"/>
      <c r="I29" s="27" t="s">
        <v>6</v>
      </c>
    </row>
    <row r="30" spans="1:9" ht="19.899999999999999" customHeight="1" x14ac:dyDescent="0.6">
      <c r="A30" s="10"/>
      <c r="B30" s="10"/>
      <c r="C30" s="10"/>
      <c r="D30" s="19"/>
      <c r="E30" s="10"/>
      <c r="F30" s="14" t="s">
        <v>11</v>
      </c>
      <c r="G30" s="41" t="s">
        <v>5</v>
      </c>
      <c r="H30" s="41"/>
      <c r="I30" s="27" t="s">
        <v>6</v>
      </c>
    </row>
    <row r="31" spans="1:9" ht="19.899999999999999" customHeight="1" x14ac:dyDescent="0.6">
      <c r="A31" s="10"/>
      <c r="B31" s="10"/>
      <c r="C31" s="10"/>
      <c r="D31" s="19"/>
      <c r="E31" s="10"/>
      <c r="F31" s="14" t="s">
        <v>11</v>
      </c>
      <c r="G31" s="41" t="s">
        <v>5</v>
      </c>
      <c r="H31" s="41"/>
      <c r="I31" s="27" t="s">
        <v>6</v>
      </c>
    </row>
    <row r="32" spans="1:9" ht="19.899999999999999" customHeight="1" x14ac:dyDescent="0.6">
      <c r="A32" s="10"/>
      <c r="B32" s="10"/>
      <c r="C32" s="10"/>
      <c r="D32" s="19"/>
      <c r="E32" s="10"/>
      <c r="F32" s="14" t="s">
        <v>11</v>
      </c>
      <c r="G32" s="41" t="s">
        <v>5</v>
      </c>
      <c r="H32" s="41"/>
      <c r="I32" s="27" t="s">
        <v>6</v>
      </c>
    </row>
    <row r="33" spans="1:9" ht="19.899999999999999" customHeight="1" x14ac:dyDescent="0.6">
      <c r="A33" s="10"/>
      <c r="B33" s="10"/>
      <c r="C33" s="10"/>
      <c r="D33" s="19"/>
      <c r="E33" s="10"/>
      <c r="F33" s="14" t="s">
        <v>11</v>
      </c>
      <c r="G33" s="41" t="s">
        <v>5</v>
      </c>
      <c r="H33" s="41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Statistique_Kit</vt:lpstr>
      <vt:lpstr>Kit_Montage_Template</vt:lpstr>
      <vt:lpstr>Kit_Ergonomie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2019-01-12T14:14:16Z</dcterms:modified>
</cp:coreProperties>
</file>