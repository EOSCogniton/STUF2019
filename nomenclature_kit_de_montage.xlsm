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tente\Desktop\STUF2019\"/>
    </mc:Choice>
  </mc:AlternateContent>
  <bookViews>
    <workbookView xWindow="0" yWindow="0" windowWidth="6120" windowHeight="8160" tabRatio="741" firstSheet="3" activeTab="8"/>
  </bookViews>
  <sheets>
    <sheet name="Statistique_Kit" sheetId="10" r:id="rId1"/>
    <sheet name="Kit_Montage_Template" sheetId="1" state="hidden" r:id="rId2"/>
    <sheet name="Kit_Montage_Template (2)" sheetId="17" state="hidden" r:id="rId3"/>
    <sheet name="Kit__Transm_Sec" sheetId="19" r:id="rId4"/>
    <sheet name="Kit_Pédalier" sheetId="16" r:id="rId5"/>
    <sheet name="Kit_Carrosserie" sheetId="3" r:id="rId6"/>
    <sheet name="Kit_Direction" sheetId="4" r:id="rId7"/>
    <sheet name="Kit_Roue équipée_AR" sheetId="5" r:id="rId8"/>
    <sheet name="Kit_Roue équipée_AV" sheetId="20" r:id="rId9"/>
    <sheet name="Kit_Triangles" sheetId="6" r:id="rId10"/>
    <sheet name="Kit_BAR" sheetId="7" r:id="rId11"/>
    <sheet name="Kit_Freinage" sheetId="8" r:id="rId12"/>
    <sheet name="Kit_CircuitCarburant" sheetId="9" r:id="rId13"/>
    <sheet name="Kit_Admission" sheetId="11" r:id="rId14"/>
    <sheet name="Kit_Echappement" sheetId="12" r:id="rId15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5" l="1"/>
  <c r="H1" i="20"/>
  <c r="H1" i="19" l="1"/>
  <c r="H1" i="16" l="1"/>
  <c r="H1" i="17" l="1"/>
  <c r="C6" i="10" l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B5" i="10"/>
  <c r="A5" i="10"/>
  <c r="H1" i="9"/>
  <c r="C12" i="10" s="1"/>
  <c r="H1" i="8"/>
  <c r="C11" i="10" s="1"/>
  <c r="D18" i="10" l="1"/>
  <c r="H1" i="7"/>
  <c r="C10" i="10" s="1"/>
  <c r="E22" i="6" l="1"/>
  <c r="H1" i="6"/>
  <c r="C9" i="10" s="1"/>
  <c r="C8" i="10" l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<sst xmlns="http://schemas.openxmlformats.org/spreadsheetml/2006/main" count="1941" uniqueCount="263">
  <si>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</si>
  <si>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</si>
  <si>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</si>
  <si>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</si>
  <si>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</si>
  <si>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</si>
  <si>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</si>
  <si>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</si>
  <si>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</si>
  <si>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</si>
  <si>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</si>
  <si>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</si>
  <si>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</si>
  <si>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</si>
  <si>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</si>
  <si>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</si>
  <si>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</si>
  <si>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</si>
  <si>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</si>
  <si>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</si>
  <si>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</si>
  <si>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</si>
  <si>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</si>
  <si>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</si>
  <si>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</si>
  <si>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</si>
  <si>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</si>
  <si>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</si>
  <si>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</si>
  <si>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</si>
  <si>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</si>
  <si>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</si>
  <si>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</si>
  <si>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</si>
  <si>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</si>
  <si>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</si>
  <si>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</si>
  <si>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</si>
  <si>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</si>
  <si>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</si>
  <si>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</si>
  <si>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</si>
  <si>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</si>
  <si>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</si>
  <si>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</si>
  <si>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</si>
  <si>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</si>
  <si>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</si>
  <si>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</si>
  <si>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</si>
  <si>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</si>
  <si>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</si>
  <si>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</si>
  <si>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</si>
  <si>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</si>
  <si>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</si>
  <si>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</si>
  <si>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</si>
  <si>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</si>
  <si>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</si>
  <si>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</si>
  <si>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</si>
  <si>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</si>
  <si>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</si>
  <si>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</si>
  <si>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</si>
  <si>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</si>
  <si>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</si>
  <si>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</si>
  <si>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</si>
  <si>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</si>
  <si>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</si>
  <si>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</si>
  <si>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</si>
  <si>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</si>
  <si>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</si>
  <si>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</si>
  <si>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</si>
  <si>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</si>
  <si>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</si>
  <si>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</si>
  <si>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</si>
  <si>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</si>
  <si>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</si>
  <si>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</si>
  <si>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</si>
  <si>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</si>
  <si>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</si>
  <si>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</si>
  <si>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</si>
  <si>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</si>
  <si>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</si>
  <si>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</si>
  <si>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</si>
  <si>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</si>
  <si>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</si>
  <si>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</si>
  <si>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</si>
  <si>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</si>
  <si>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</si>
  <si>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</si>
  <si>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</si>
  <si>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</si>
  <si>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</si>
  <si>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</si>
  <si>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</si>
  <si>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</si>
  <si>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</si>
  <si>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</si>
  <si>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</si>
  <si>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</si>
  <si>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</si>
  <si>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</si>
  <si>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</si>
  <si>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</si>
  <si>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</si>
  <si>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</si>
  <si>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</si>
  <si>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</si>
  <si>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</si>
  <si>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</si>
  <si>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</si>
  <si>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</si>
  <si>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</si>
  <si>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</si>
  <si>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</si>
  <si>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</si>
  <si>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</si>
  <si>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</si>
  <si>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</si>
  <si>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</si>
  <si>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</si>
  <si>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</si>
  <si>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</si>
  <si>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</si>
  <si>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</si>
  <si>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</si>
  <si>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</si>
  <si>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</si>
  <si>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</si>
  <si>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</si>
  <si>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</si>
  <si>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</si>
  <si>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</si>
  <si>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</si>
  <si>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</si>
  <si>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</si>
  <si>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</si>
  <si>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</si>
  <si>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</si>
  <si>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</si>
  <si>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</si>
  <si>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</si>
  <si>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</si>
  <si>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</si>
  <si>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</si>
  <si>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</si>
  <si>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</si>
  <si>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</si>
  <si>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</si>
  <si>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</si>
  <si>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</si>
  <si>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</si>
  <si>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</si>
  <si>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</si>
  <si>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</si>
  <si>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</si>
  <si>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</si>
  <si>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</si>
  <si>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</si>
  <si>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</si>
  <si>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</si>
  <si>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</si>
  <si>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</si>
  <si>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</si>
  <si>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</si>
  <si>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</si>
  <si>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</si>
  <si>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</si>
  <si>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</si>
  <si>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</si>
  <si>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</si>
  <si>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</si>
  <si>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</si>
  <si>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</si>
  <si>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</si>
  <si>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</si>
  <si>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</si>
  <si>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</si>
  <si>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</si>
  <si>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</si>
  <si>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</si>
  <si>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</si>
  <si>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</si>
  <si>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</si>
  <si>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Plénum</t>
  </si>
  <si>
    <t>Fond plat</t>
  </si>
  <si>
    <t>Tubulures</t>
  </si>
  <si>
    <t>Joint fond plat/plénum</t>
  </si>
  <si>
    <t>Boulons M3</t>
  </si>
  <si>
    <t>Boulons M4</t>
  </si>
  <si>
    <t>Rondelles M3</t>
  </si>
  <si>
    <t>Joint torique plénum/bride</t>
  </si>
  <si>
    <t>Chapes fixations châssis</t>
  </si>
  <si>
    <t>Barres fixations châssis</t>
  </si>
  <si>
    <t>Barres fixations moteurs</t>
  </si>
  <si>
    <t>Boulons M6</t>
  </si>
  <si>
    <t>Rondelles M6</t>
  </si>
  <si>
    <t>Plaque supérieure guillotine</t>
  </si>
  <si>
    <t>Plaque inférieure guillotine</t>
  </si>
  <si>
    <t>Plaque intermédiaire guillotine</t>
  </si>
  <si>
    <t>Plaque partie mobile guillotine</t>
  </si>
  <si>
    <t>Plaque arrêt translation guillotine</t>
  </si>
  <si>
    <t>Feuille à joints</t>
  </si>
  <si>
    <t>Bride</t>
  </si>
  <si>
    <t>Convergeant</t>
  </si>
  <si>
    <t>Filtre à air</t>
  </si>
  <si>
    <t>Ecrou M10</t>
  </si>
  <si>
    <t>Collecteur</t>
  </si>
  <si>
    <t>Silencieux</t>
  </si>
  <si>
    <t>Collier de fixation silencieux</t>
  </si>
  <si>
    <t>Bague de serrage (pour le filtre à air)</t>
  </si>
  <si>
    <t>Sonde lambda</t>
  </si>
  <si>
    <t>Transmission Secondaire</t>
  </si>
  <si>
    <t>MPY</t>
  </si>
  <si>
    <t>Excentrique gauche</t>
  </si>
  <si>
    <t>Excentrique droit</t>
  </si>
  <si>
    <t>Porte excentrique gauche</t>
  </si>
  <si>
    <t>Porte excentrique droit</t>
  </si>
  <si>
    <t>Différentiel</t>
  </si>
  <si>
    <t>Roulement gauche</t>
  </si>
  <si>
    <t>Roulement droit</t>
  </si>
  <si>
    <t>Couronne</t>
  </si>
  <si>
    <t>Chaîne</t>
  </si>
  <si>
    <t>Chainshield</t>
  </si>
  <si>
    <t>Porte couronne</t>
  </si>
  <si>
    <t>Arbre gauche</t>
  </si>
  <si>
    <t>Arbre droit</t>
  </si>
  <si>
    <t>Tulipe</t>
  </si>
  <si>
    <t>Tripod housing</t>
  </si>
  <si>
    <t>Jacking bar</t>
  </si>
  <si>
    <t>chape gauche jacking bar</t>
  </si>
  <si>
    <t>chape droite jacking bar</t>
  </si>
  <si>
    <t>chape sup porte excentrique interne</t>
  </si>
  <si>
    <t>chape sup porte excentrique externe</t>
  </si>
  <si>
    <t>chape inf porte excentrique</t>
  </si>
  <si>
    <t>chape chainshield</t>
  </si>
  <si>
    <t>SU_1000_001 (Front Left Upright)</t>
  </si>
  <si>
    <t>WT_0200_001 (Front Hub)</t>
  </si>
  <si>
    <t>BR_0100_001_MM (Brake Caliper)</t>
  </si>
  <si>
    <t>BR_0200_001 (Break Disc)</t>
  </si>
  <si>
    <t>SU_10003 (Upper Arm Wedge)</t>
  </si>
  <si>
    <t>S71910 ACD/P4A_PART1-S71910 ACD</t>
  </si>
  <si>
    <t>WT_02003 (Front Bearing Washer)</t>
  </si>
  <si>
    <t>MB 10-MB 10</t>
  </si>
  <si>
    <t>KM 10-KM 10</t>
  </si>
  <si>
    <t>rondelle_M8.1</t>
  </si>
  <si>
    <t>ISO 4762 SCREW M8x20 STEEL HEXAGON SOCKET HEAD CAP.2</t>
  </si>
  <si>
    <t>5x20CHC</t>
  </si>
  <si>
    <t>ecrou_M5_NS</t>
  </si>
  <si>
    <t>rondelle_M5</t>
  </si>
  <si>
    <t>?</t>
  </si>
  <si>
    <t>Brake Bell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</si>
</sst>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u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0" fillId="0" borderId="3" xfId="0" applyBorder="1"/>
    <xf numFmtId="0" fontId="0" fillId="0" borderId="0" xfId="0" applyFill="1" applyBorder="1"/>
    <xf numFmtId="0" fontId="0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0" fillId="0" borderId="3" xfId="0" applyBorder="1"/>
    <xf numFmtId="0" fontId="0" fillId="0" borderId="0" xfId="0" applyAlignment="1">
      <alignment horizontal="center"/>
    </xf>
    <xf numFmtId="0" fontId="13" fillId="0" borderId="0" xfId="0" applyFont="1" applyAlignment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2" fillId="0" borderId="3" xfId="0" applyFont="1" applyBorder="1" applyAlignment="1"/>
    <xf numFmtId="0" fontId="2" fillId="0" borderId="16" xfId="0" applyFont="1" applyBorder="1" applyAlignment="1"/>
    <xf numFmtId="0" fontId="0" fillId="0" borderId="3" xfId="0" applyBorder="1"/>
    <xf numFmtId="0" fontId="0" fillId="0" borderId="16" xfId="0" applyBorder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0" fillId="0" borderId="3" xfId="0" applyBorder="1" applyAlignment="1">
      <alignment horizontal="left"/>
    </xf>
    <xf numFmtId="0" fontId="0" fillId="0" borderId="16" xfId="0" applyBorder="1" applyAlignment="1">
      <alignment horizontal="left"/>
    </xf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347021536"/>
        <c:axId val="-1347027520"/>
      </c:barChart>
      <c:catAx>
        <c:axId val="-134702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-1347027520"/>
        <c:crosses val="autoZero"/>
        <c:auto val="1"/>
        <c:lblAlgn val="ctr"/>
        <c:lblOffset val="100"/>
        <c:noMultiLvlLbl val="0"/>
      </c:catAx>
      <c:valAx>
        <c:axId val="-134702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-134702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équipée_AR'!$H$2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-1347034048"/>
        <c:axId val="-1347028064"/>
      </c:barChart>
      <c:catAx>
        <c:axId val="-1347034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-1347028064"/>
        <c:crosses val="autoZero"/>
        <c:auto val="1"/>
        <c:lblAlgn val="ctr"/>
        <c:lblOffset val="100"/>
        <c:noMultiLvlLbl val="0"/>
      </c:catAx>
      <c:valAx>
        <c:axId val="-134702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-134703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1133475</xdr:colOff>
          <xdr:row>0</xdr:row>
          <xdr:rowOff>123825</xdr:rowOff>
        </xdr:from>
        <xdr:to>
          <xdr:col>2</xdr:col>
          <xdr:colOff>609600</xdr:colOff>
          <xdr:row>2</xdr:row>
          <xdr:rowOff>57150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E18"/>
  <sheetViews>
    <sheetView showGridLines="0" view="pageLayout" topLeftCell="A3" zoomScaleNormal="100" workbookViewId="0">
      <selection activeCell="D11" sqref="D11"/>
    </sheetView>
  </sheetViews>
  <sheetFormatPr defaultColWidth="10.85546875" defaultRowHeight="15" x14ac:dyDescent="0.25"/>
  <cols>
    <col min="1" max="1" width="20.85546875" customWidth="1"/>
    <col min="2" max="2" width="26" customWidth="1"/>
    <col min="4" max="4" width="8.85546875" customWidth="1"/>
    <col min="7" max="7" width="16.42578125" customWidth="1"/>
  </cols>
  <sheetData>
    <row r="2" spans="1:5" x14ac:dyDescent="0.25">
      <c r="A2" s="35" t="s">
        <v>160</v>
      </c>
      <c r="B2" s="45" t="s">
        <v>161</v>
      </c>
    </row>
    <row r="4" spans="1:5" x14ac:dyDescent="0.25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25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25">
      <c r="A6" s="39" t="str">
        <f>Kit_Pédalier!B1</f>
        <v>Pédalier</v>
      </c>
      <c r="B6" s="36" t="str">
        <f>Kit_Pédalier!E3</f>
        <v>BDE</v>
      </c>
      <c r="C6" s="36">
        <f>Kit_Pédalier!H1</f>
        <v>85</v>
      </c>
      <c r="D6" s="36">
        <f>Kit_Pédalier!H2</f>
        <v>99</v>
      </c>
      <c r="E6" s="46"/>
    </row>
    <row r="7" spans="1:5" x14ac:dyDescent="0.25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25">
      <c r="A8" s="38" t="str">
        <f>'Kit_Roue équipée_AR'!B1</f>
        <v>roues equipées arrières</v>
      </c>
      <c r="B8" s="36" t="str">
        <f>'Kit_Roue équipée_AR'!E3</f>
        <v>SCHIO michele</v>
      </c>
      <c r="C8" s="36">
        <f>'Kit_Roue équipée_AR'!H1</f>
        <v>71</v>
      </c>
      <c r="D8" s="36" t="str">
        <f>'Kit_Roue équipée_AR'!H2</f>
        <v>?</v>
      </c>
      <c r="E8" s="46"/>
    </row>
    <row r="9" spans="1:5" x14ac:dyDescent="0.25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25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25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17</v>
      </c>
      <c r="D11" s="36">
        <f>Kit_Freinage!H2</f>
        <v>99</v>
      </c>
      <c r="E11" s="46"/>
    </row>
    <row r="12" spans="1:5" x14ac:dyDescent="0.25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25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20</v>
      </c>
      <c r="D13" s="36">
        <f>Kit_Admission!H2</f>
        <v>108</v>
      </c>
      <c r="E13" s="46"/>
    </row>
    <row r="14" spans="1:5" x14ac:dyDescent="0.25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4</v>
      </c>
      <c r="D14" s="36">
        <f>Kit_Echappement!H2</f>
        <v>0</v>
      </c>
      <c r="E14" s="46"/>
    </row>
    <row r="15" spans="1:5" x14ac:dyDescent="0.25">
      <c r="A15" s="48" t="s">
        <v>172</v>
      </c>
      <c r="B15" s="36" t="s">
        <v>175</v>
      </c>
      <c r="C15" s="36"/>
      <c r="D15" s="36"/>
      <c r="E15" s="46"/>
    </row>
    <row r="16" spans="1:5" x14ac:dyDescent="0.25">
      <c r="A16" s="48" t="s">
        <v>174</v>
      </c>
      <c r="B16" s="36" t="s">
        <v>175</v>
      </c>
      <c r="C16" s="36"/>
      <c r="D16" s="36"/>
      <c r="E16" s="46"/>
    </row>
    <row r="17" spans="1:5" x14ac:dyDescent="0.25">
      <c r="A17" s="48" t="s">
        <v>173</v>
      </c>
      <c r="B17" s="36" t="s">
        <v>175</v>
      </c>
      <c r="C17" s="36"/>
      <c r="D17" s="36"/>
      <c r="E17" s="46"/>
    </row>
    <row r="18" spans="1:5" x14ac:dyDescent="0.25">
      <c r="B18" s="37" t="s">
        <v>171</v>
      </c>
      <c r="C18" s="36">
        <f>SUM(C5:C17)</f>
        <v>381</v>
      </c>
      <c r="D18" s="36">
        <f>SUM(D5:D17)</f>
        <v>801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1133475</xdr:colOff>
                <xdr:row>0</xdr:row>
                <xdr:rowOff>123825</xdr:rowOff>
              </from>
              <to>
                <xdr:col>2</xdr:col>
                <xdr:colOff>609600</xdr:colOff>
                <xdr:row>2</xdr:row>
                <xdr:rowOff>57150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35"/>
  <sheetViews>
    <sheetView showGridLines="0" view="pageLayout" zoomScaleNormal="100" workbookViewId="0">
      <selection activeCell="B1" sqref="B1:E1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/>
      <c r="C1" s="64"/>
      <c r="D1" s="64"/>
      <c r="E1" s="64"/>
      <c r="F1" s="1"/>
      <c r="G1" s="7" t="s">
        <v>4</v>
      </c>
      <c r="H1">
        <f>SUM(E6:E25)</f>
        <v>0</v>
      </c>
    </row>
    <row r="2" spans="1:9" ht="26.25" x14ac:dyDescent="0.4">
      <c r="G2" s="7" t="s">
        <v>8</v>
      </c>
    </row>
    <row r="3" spans="1:9" ht="22.5" customHeight="1" x14ac:dyDescent="0.35">
      <c r="A3" s="65" t="s">
        <v>1</v>
      </c>
      <c r="B3" s="65"/>
      <c r="C3" s="66"/>
      <c r="D3" s="66"/>
      <c r="E3" s="20"/>
    </row>
    <row r="5" spans="1:9" s="3" customFormat="1" ht="49.5" customHeight="1" thickBot="1" x14ac:dyDescent="0.45">
      <c r="A5" s="67" t="s">
        <v>2</v>
      </c>
      <c r="B5" s="67"/>
      <c r="C5" s="67"/>
      <c r="D5" s="68"/>
      <c r="E5" s="9" t="s">
        <v>10</v>
      </c>
      <c r="F5" s="69" t="s">
        <v>7</v>
      </c>
      <c r="G5" s="70"/>
      <c r="H5" s="70"/>
    </row>
    <row r="6" spans="1:9" s="3" customFormat="1" ht="20.100000000000001" customHeight="1" thickTop="1" x14ac:dyDescent="0.4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.100000000000001" customHeight="1" x14ac:dyDescent="0.4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.100000000000001" customHeight="1" x14ac:dyDescent="0.4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.100000000000001" customHeight="1" x14ac:dyDescent="0.4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.100000000000001" customHeight="1" x14ac:dyDescent="0.4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.100000000000001" customHeight="1" x14ac:dyDescent="0.4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.100000000000001" customHeight="1" x14ac:dyDescent="0.4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.100000000000001" customHeight="1" x14ac:dyDescent="0.4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.100000000000001" customHeight="1" x14ac:dyDescent="0.4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.100000000000001" customHeight="1" x14ac:dyDescent="0.4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.100000000000001" customHeight="1" x14ac:dyDescent="0.4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.100000000000001" customHeight="1" x14ac:dyDescent="0.4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.100000000000001" customHeight="1" x14ac:dyDescent="0.4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.100000000000001" customHeight="1" x14ac:dyDescent="0.4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.100000000000001" customHeight="1" x14ac:dyDescent="0.4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.100000000000001" customHeight="1" x14ac:dyDescent="0.4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.100000000000001" customHeight="1" x14ac:dyDescent="0.4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.100000000000001" customHeight="1" x14ac:dyDescent="0.4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.100000000000001" customHeight="1" x14ac:dyDescent="0.4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.100000000000001" customHeight="1" x14ac:dyDescent="0.4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.100000000000001" customHeight="1" x14ac:dyDescent="0.25">
      <c r="A26" s="4"/>
      <c r="B26" s="4"/>
      <c r="C26" s="4"/>
      <c r="E26" s="4"/>
      <c r="F26" s="4"/>
      <c r="G26" s="4"/>
      <c r="H26" s="4"/>
    </row>
    <row r="27" spans="1:9" ht="20.100000000000001" customHeight="1" thickBot="1" x14ac:dyDescent="0.45">
      <c r="A27" s="67" t="s">
        <v>3</v>
      </c>
      <c r="B27" s="68"/>
      <c r="C27" s="67"/>
      <c r="D27" s="68"/>
      <c r="E27" s="12" t="s">
        <v>10</v>
      </c>
      <c r="F27" s="69" t="s">
        <v>7</v>
      </c>
      <c r="G27" s="70"/>
      <c r="H27" s="70"/>
      <c r="I27" s="3"/>
    </row>
    <row r="28" spans="1:9" ht="20.100000000000001" customHeight="1" thickTop="1" x14ac:dyDescent="0.4">
      <c r="A28" s="22"/>
      <c r="B28" s="17"/>
      <c r="C28" s="17"/>
      <c r="D28" s="18"/>
      <c r="E28" s="10"/>
      <c r="F28" s="15" t="s">
        <v>11</v>
      </c>
      <c r="G28" s="72" t="s">
        <v>5</v>
      </c>
      <c r="H28" s="72"/>
      <c r="I28" s="16" t="s">
        <v>6</v>
      </c>
    </row>
    <row r="29" spans="1:9" ht="20.100000000000001" customHeight="1" x14ac:dyDescent="0.4">
      <c r="A29" s="23"/>
      <c r="B29" s="10"/>
      <c r="C29" s="10"/>
      <c r="D29" s="19"/>
      <c r="E29" s="10"/>
      <c r="F29" s="14" t="s">
        <v>11</v>
      </c>
      <c r="G29" s="71" t="s">
        <v>5</v>
      </c>
      <c r="H29" s="71"/>
      <c r="I29" s="13" t="s">
        <v>6</v>
      </c>
    </row>
    <row r="30" spans="1:9" ht="20.100000000000001" customHeight="1" x14ac:dyDescent="0.4">
      <c r="A30" s="10"/>
      <c r="B30" s="10"/>
      <c r="C30" s="10"/>
      <c r="D30" s="19"/>
      <c r="E30" s="10"/>
      <c r="F30" s="14" t="s">
        <v>11</v>
      </c>
      <c r="G30" s="71" t="s">
        <v>5</v>
      </c>
      <c r="H30" s="71"/>
      <c r="I30" s="13" t="s">
        <v>6</v>
      </c>
    </row>
    <row r="31" spans="1:9" ht="20.100000000000001" customHeight="1" x14ac:dyDescent="0.4">
      <c r="A31" s="10"/>
      <c r="B31" s="10"/>
      <c r="C31" s="10"/>
      <c r="D31" s="19"/>
      <c r="E31" s="10"/>
      <c r="F31" s="14" t="s">
        <v>11</v>
      </c>
      <c r="G31" s="71" t="s">
        <v>5</v>
      </c>
      <c r="H31" s="71"/>
      <c r="I31" s="13" t="s">
        <v>6</v>
      </c>
    </row>
    <row r="32" spans="1:9" ht="20.100000000000001" customHeight="1" x14ac:dyDescent="0.4">
      <c r="A32" s="10"/>
      <c r="B32" s="10"/>
      <c r="C32" s="10"/>
      <c r="D32" s="19"/>
      <c r="E32" s="10"/>
      <c r="F32" s="14" t="s">
        <v>11</v>
      </c>
      <c r="G32" s="71" t="s">
        <v>5</v>
      </c>
      <c r="H32" s="71"/>
      <c r="I32" s="13" t="s">
        <v>6</v>
      </c>
    </row>
    <row r="33" spans="1:9" ht="20.100000000000001" customHeight="1" x14ac:dyDescent="0.4">
      <c r="A33" s="10"/>
      <c r="B33" s="10"/>
      <c r="C33" s="10"/>
      <c r="D33" s="19"/>
      <c r="E33" s="10"/>
      <c r="F33" s="14" t="s">
        <v>11</v>
      </c>
      <c r="G33" s="71" t="s">
        <v>5</v>
      </c>
      <c r="H33" s="71"/>
      <c r="I33" s="13" t="s">
        <v>6</v>
      </c>
    </row>
    <row r="34" spans="1:9" ht="10.5" customHeight="1" x14ac:dyDescent="0.25">
      <c r="A34" s="4"/>
      <c r="B34" s="4"/>
    </row>
    <row r="35" spans="1:9" ht="26.25" x14ac:dyDescent="0.4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3"/>
  <dimension ref="A1:I35"/>
  <sheetViews>
    <sheetView showGridLines="0" view="pageLayout" zoomScaleNormal="100" workbookViewId="0">
      <selection activeCell="B1" sqref="B1:E1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/>
      <c r="C1" s="64"/>
      <c r="D1" s="64"/>
      <c r="E1" s="64"/>
      <c r="F1" s="44"/>
      <c r="G1" s="7" t="s">
        <v>4</v>
      </c>
      <c r="H1">
        <f>SUM(E6:E25)</f>
        <v>0</v>
      </c>
    </row>
    <row r="2" spans="1:9" ht="26.25" x14ac:dyDescent="0.4">
      <c r="G2" s="7" t="s">
        <v>8</v>
      </c>
    </row>
    <row r="3" spans="1:9" ht="22.5" customHeight="1" x14ac:dyDescent="0.35">
      <c r="A3" s="65" t="s">
        <v>1</v>
      </c>
      <c r="B3" s="65"/>
      <c r="C3" s="66"/>
      <c r="D3" s="66"/>
      <c r="E3" s="20"/>
    </row>
    <row r="5" spans="1:9" s="3" customFormat="1" ht="49.5" customHeight="1" thickBot="1" x14ac:dyDescent="0.45">
      <c r="A5" s="67" t="s">
        <v>2</v>
      </c>
      <c r="B5" s="67"/>
      <c r="C5" s="67"/>
      <c r="D5" s="68"/>
      <c r="E5" s="42" t="s">
        <v>10</v>
      </c>
      <c r="F5" s="69" t="s">
        <v>7</v>
      </c>
      <c r="G5" s="70"/>
      <c r="H5" s="70"/>
    </row>
    <row r="6" spans="1:9" s="3" customFormat="1" ht="20.100000000000001" customHeight="1" thickTop="1" x14ac:dyDescent="0.4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20.100000000000001" customHeight="1" x14ac:dyDescent="0.4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20.100000000000001" customHeight="1" x14ac:dyDescent="0.4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20.100000000000001" customHeight="1" x14ac:dyDescent="0.4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20.100000000000001" customHeight="1" x14ac:dyDescent="0.4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20.100000000000001" customHeight="1" x14ac:dyDescent="0.4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20.100000000000001" customHeight="1" x14ac:dyDescent="0.4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20.100000000000001" customHeight="1" x14ac:dyDescent="0.4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20.100000000000001" customHeight="1" x14ac:dyDescent="0.4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20.100000000000001" customHeight="1" x14ac:dyDescent="0.4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20.100000000000001" customHeight="1" x14ac:dyDescent="0.4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20.100000000000001" customHeight="1" x14ac:dyDescent="0.4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20.100000000000001" customHeight="1" x14ac:dyDescent="0.4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20.100000000000001" customHeight="1" x14ac:dyDescent="0.4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20.100000000000001" customHeight="1" x14ac:dyDescent="0.4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20.100000000000001" customHeight="1" x14ac:dyDescent="0.4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20.100000000000001" customHeight="1" x14ac:dyDescent="0.4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20.100000000000001" customHeight="1" x14ac:dyDescent="0.4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20.100000000000001" customHeight="1" x14ac:dyDescent="0.4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20.100000000000001" customHeight="1" x14ac:dyDescent="0.4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20.100000000000001" customHeight="1" x14ac:dyDescent="0.25">
      <c r="A26" s="4"/>
      <c r="B26" s="4"/>
      <c r="C26" s="4"/>
      <c r="E26" s="4"/>
      <c r="F26" s="4"/>
      <c r="G26" s="4"/>
      <c r="H26" s="4"/>
    </row>
    <row r="27" spans="1:9" ht="20.100000000000001" customHeight="1" thickBot="1" x14ac:dyDescent="0.45">
      <c r="A27" s="67" t="s">
        <v>3</v>
      </c>
      <c r="B27" s="68"/>
      <c r="C27" s="67"/>
      <c r="D27" s="68"/>
      <c r="E27" s="12" t="s">
        <v>10</v>
      </c>
      <c r="F27" s="69" t="s">
        <v>7</v>
      </c>
      <c r="G27" s="70"/>
      <c r="H27" s="70"/>
      <c r="I27" s="3"/>
    </row>
    <row r="28" spans="1:9" ht="20.100000000000001" customHeight="1" thickTop="1" x14ac:dyDescent="0.4">
      <c r="A28" s="49"/>
      <c r="B28" s="17"/>
      <c r="C28" s="17"/>
      <c r="D28" s="18"/>
      <c r="E28" s="10"/>
      <c r="F28" s="15" t="s">
        <v>11</v>
      </c>
      <c r="G28" s="72" t="s">
        <v>5</v>
      </c>
      <c r="H28" s="72"/>
      <c r="I28" s="43" t="s">
        <v>6</v>
      </c>
    </row>
    <row r="29" spans="1:9" ht="20.100000000000001" customHeight="1" x14ac:dyDescent="0.4">
      <c r="A29" s="23"/>
      <c r="B29" s="10"/>
      <c r="C29" s="10"/>
      <c r="D29" s="19"/>
      <c r="E29" s="10"/>
      <c r="F29" s="14" t="s">
        <v>11</v>
      </c>
      <c r="G29" s="71" t="s">
        <v>5</v>
      </c>
      <c r="H29" s="71"/>
      <c r="I29" s="41" t="s">
        <v>6</v>
      </c>
    </row>
    <row r="30" spans="1:9" ht="20.100000000000001" customHeight="1" x14ac:dyDescent="0.4">
      <c r="A30" s="10"/>
      <c r="B30" s="10"/>
      <c r="C30" s="10"/>
      <c r="D30" s="19"/>
      <c r="E30" s="10"/>
      <c r="F30" s="14" t="s">
        <v>11</v>
      </c>
      <c r="G30" s="71" t="s">
        <v>5</v>
      </c>
      <c r="H30" s="71"/>
      <c r="I30" s="41" t="s">
        <v>6</v>
      </c>
    </row>
    <row r="31" spans="1:9" ht="20.100000000000001" customHeight="1" x14ac:dyDescent="0.4">
      <c r="A31" s="10"/>
      <c r="B31" s="10"/>
      <c r="C31" s="10"/>
      <c r="D31" s="19"/>
      <c r="E31" s="10"/>
      <c r="F31" s="14" t="s">
        <v>11</v>
      </c>
      <c r="G31" s="71" t="s">
        <v>5</v>
      </c>
      <c r="H31" s="71"/>
      <c r="I31" s="41" t="s">
        <v>6</v>
      </c>
    </row>
    <row r="32" spans="1:9" ht="20.100000000000001" customHeight="1" x14ac:dyDescent="0.4">
      <c r="A32" s="10"/>
      <c r="B32" s="10"/>
      <c r="C32" s="10"/>
      <c r="D32" s="19"/>
      <c r="E32" s="10"/>
      <c r="F32" s="14" t="s">
        <v>11</v>
      </c>
      <c r="G32" s="71" t="s">
        <v>5</v>
      </c>
      <c r="H32" s="71"/>
      <c r="I32" s="41" t="s">
        <v>6</v>
      </c>
    </row>
    <row r="33" spans="1:9" ht="20.100000000000001" customHeight="1" x14ac:dyDescent="0.4">
      <c r="A33" s="10"/>
      <c r="B33" s="10"/>
      <c r="C33" s="10"/>
      <c r="D33" s="19"/>
      <c r="E33" s="10"/>
      <c r="F33" s="14" t="s">
        <v>11</v>
      </c>
      <c r="G33" s="71" t="s">
        <v>5</v>
      </c>
      <c r="H33" s="71"/>
      <c r="I33" s="41" t="s">
        <v>6</v>
      </c>
    </row>
    <row r="34" spans="1:9" ht="10.5" customHeight="1" x14ac:dyDescent="0.25">
      <c r="A34" s="4"/>
      <c r="B34" s="4"/>
    </row>
    <row r="35" spans="1:9" ht="26.25" x14ac:dyDescent="0.4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4">
    <tabColor rgb="FFFFFF00"/>
  </sheetPr>
  <dimension ref="A1:I40"/>
  <sheetViews>
    <sheetView showGridLines="0" view="pageLayout" topLeftCell="A19" zoomScaleNormal="100" workbookViewId="0">
      <selection activeCell="A24" sqref="A24:D24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 t="s">
        <v>223</v>
      </c>
      <c r="C1" s="64"/>
      <c r="D1" s="64"/>
      <c r="E1" s="64"/>
      <c r="F1" s="58"/>
      <c r="G1" s="7" t="s">
        <v>4</v>
      </c>
      <c r="H1">
        <f>SUM(E6:E39)</f>
        <v>31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65" t="s">
        <v>1</v>
      </c>
      <c r="B3" s="65"/>
      <c r="C3" s="66"/>
      <c r="D3" s="66"/>
      <c r="E3" s="20" t="s">
        <v>224</v>
      </c>
    </row>
    <row r="5" spans="1:9" s="3" customFormat="1" ht="49.5" customHeight="1" thickBot="1" x14ac:dyDescent="0.45">
      <c r="A5" s="67" t="s">
        <v>2</v>
      </c>
      <c r="B5" s="67"/>
      <c r="C5" s="67"/>
      <c r="D5" s="68"/>
      <c r="E5" s="55" t="s">
        <v>10</v>
      </c>
      <c r="F5" s="69" t="s">
        <v>7</v>
      </c>
      <c r="G5" s="70"/>
      <c r="H5" s="70"/>
    </row>
    <row r="6" spans="1:9" s="3" customFormat="1" ht="20.100000000000001" customHeight="1" thickTop="1" x14ac:dyDescent="0.4">
      <c r="A6" s="85" t="s">
        <v>225</v>
      </c>
      <c r="B6" s="85"/>
      <c r="C6" s="85"/>
      <c r="D6" s="86"/>
      <c r="E6" s="8">
        <v>1</v>
      </c>
      <c r="F6" s="15" t="s">
        <v>11</v>
      </c>
      <c r="G6" s="57" t="s">
        <v>5</v>
      </c>
      <c r="H6" s="57" t="s">
        <v>9</v>
      </c>
      <c r="I6" s="57" t="s">
        <v>6</v>
      </c>
    </row>
    <row r="7" spans="1:9" ht="20.100000000000001" customHeight="1" x14ac:dyDescent="0.4">
      <c r="A7" s="81" t="s">
        <v>226</v>
      </c>
      <c r="B7" s="81"/>
      <c r="C7" s="81"/>
      <c r="D7" s="82"/>
      <c r="E7" s="11">
        <v>1</v>
      </c>
      <c r="F7" s="14" t="s">
        <v>11</v>
      </c>
      <c r="G7" s="56" t="s">
        <v>5</v>
      </c>
      <c r="H7" s="56" t="s">
        <v>9</v>
      </c>
      <c r="I7" s="56" t="s">
        <v>6</v>
      </c>
    </row>
    <row r="8" spans="1:9" ht="20.100000000000001" customHeight="1" x14ac:dyDescent="0.4">
      <c r="A8" s="81" t="s">
        <v>227</v>
      </c>
      <c r="B8" s="81"/>
      <c r="C8" s="81"/>
      <c r="D8" s="82"/>
      <c r="E8" s="6">
        <v>1</v>
      </c>
      <c r="F8" s="14" t="s">
        <v>11</v>
      </c>
      <c r="G8" s="56" t="s">
        <v>5</v>
      </c>
      <c r="H8" s="56" t="s">
        <v>9</v>
      </c>
      <c r="I8" s="56" t="s">
        <v>6</v>
      </c>
    </row>
    <row r="9" spans="1:9" ht="20.100000000000001" customHeight="1" x14ac:dyDescent="0.4">
      <c r="A9" s="81" t="s">
        <v>228</v>
      </c>
      <c r="B9" s="81"/>
      <c r="C9" s="81"/>
      <c r="D9" s="82"/>
      <c r="E9" s="6">
        <v>1</v>
      </c>
      <c r="F9" s="14" t="s">
        <v>11</v>
      </c>
      <c r="G9" s="56" t="s">
        <v>5</v>
      </c>
      <c r="H9" s="56" t="s">
        <v>9</v>
      </c>
      <c r="I9" s="56" t="s">
        <v>6</v>
      </c>
    </row>
    <row r="10" spans="1:9" ht="20.100000000000001" customHeight="1" x14ac:dyDescent="0.4">
      <c r="A10" s="81" t="s">
        <v>229</v>
      </c>
      <c r="B10" s="81"/>
      <c r="C10" s="81"/>
      <c r="D10" s="82"/>
      <c r="E10" s="6">
        <v>1</v>
      </c>
      <c r="F10" s="14" t="s">
        <v>11</v>
      </c>
      <c r="G10" s="56" t="s">
        <v>5</v>
      </c>
      <c r="H10" s="56" t="s">
        <v>9</v>
      </c>
      <c r="I10" s="56" t="s">
        <v>6</v>
      </c>
    </row>
    <row r="11" spans="1:9" ht="20.100000000000001" customHeight="1" x14ac:dyDescent="0.4">
      <c r="A11" s="81" t="s">
        <v>230</v>
      </c>
      <c r="B11" s="81"/>
      <c r="C11" s="81"/>
      <c r="D11" s="82"/>
      <c r="E11" s="6">
        <v>1</v>
      </c>
      <c r="F11" s="14" t="s">
        <v>11</v>
      </c>
      <c r="G11" s="56" t="s">
        <v>5</v>
      </c>
      <c r="H11" s="56" t="s">
        <v>9</v>
      </c>
      <c r="I11" s="56" t="s">
        <v>6</v>
      </c>
    </row>
    <row r="12" spans="1:9" ht="20.100000000000001" customHeight="1" x14ac:dyDescent="0.4">
      <c r="A12" s="83" t="s">
        <v>231</v>
      </c>
      <c r="B12" s="83"/>
      <c r="C12" s="83"/>
      <c r="D12" s="83"/>
      <c r="E12" s="6">
        <v>1</v>
      </c>
      <c r="F12" s="14" t="s">
        <v>11</v>
      </c>
      <c r="G12" s="56" t="s">
        <v>5</v>
      </c>
      <c r="H12" s="56" t="s">
        <v>9</v>
      </c>
      <c r="I12" s="56" t="s">
        <v>6</v>
      </c>
    </row>
    <row r="13" spans="1:9" ht="20.100000000000001" customHeight="1" x14ac:dyDescent="0.4">
      <c r="A13" s="81" t="s">
        <v>232</v>
      </c>
      <c r="B13" s="81"/>
      <c r="C13" s="81"/>
      <c r="D13" s="82"/>
      <c r="E13" s="6">
        <v>1</v>
      </c>
      <c r="F13" s="14" t="s">
        <v>11</v>
      </c>
      <c r="G13" s="56" t="s">
        <v>5</v>
      </c>
      <c r="H13" s="56" t="s">
        <v>9</v>
      </c>
      <c r="I13" s="56" t="s">
        <v>6</v>
      </c>
    </row>
    <row r="14" spans="1:9" ht="20.100000000000001" customHeight="1" x14ac:dyDescent="0.4">
      <c r="A14" s="81" t="s">
        <v>233</v>
      </c>
      <c r="B14" s="81"/>
      <c r="C14" s="81"/>
      <c r="D14" s="82"/>
      <c r="E14" s="6">
        <v>1</v>
      </c>
      <c r="F14" s="14" t="s">
        <v>11</v>
      </c>
      <c r="G14" s="56" t="s">
        <v>5</v>
      </c>
      <c r="H14" s="56" t="s">
        <v>9</v>
      </c>
      <c r="I14" s="56" t="s">
        <v>6</v>
      </c>
    </row>
    <row r="15" spans="1:9" ht="20.100000000000001" customHeight="1" x14ac:dyDescent="0.4">
      <c r="A15" s="81" t="s">
        <v>234</v>
      </c>
      <c r="B15" s="81"/>
      <c r="C15" s="81"/>
      <c r="D15" s="82"/>
      <c r="E15" s="6">
        <v>1</v>
      </c>
      <c r="F15" s="14" t="s">
        <v>11</v>
      </c>
      <c r="G15" s="56" t="s">
        <v>5</v>
      </c>
      <c r="H15" s="56" t="s">
        <v>9</v>
      </c>
      <c r="I15" s="56" t="s">
        <v>6</v>
      </c>
    </row>
    <row r="16" spans="1:9" ht="20.100000000000001" customHeight="1" x14ac:dyDescent="0.4">
      <c r="A16" s="81" t="s">
        <v>235</v>
      </c>
      <c r="B16" s="81"/>
      <c r="C16" s="81"/>
      <c r="D16" s="82"/>
      <c r="E16" s="6">
        <v>1</v>
      </c>
      <c r="F16" s="14" t="s">
        <v>11</v>
      </c>
      <c r="G16" s="56" t="s">
        <v>5</v>
      </c>
      <c r="H16" s="56" t="s">
        <v>9</v>
      </c>
      <c r="I16" s="56" t="s">
        <v>6</v>
      </c>
    </row>
    <row r="17" spans="1:9" ht="20.100000000000001" customHeight="1" x14ac:dyDescent="0.4">
      <c r="A17" s="75" t="s">
        <v>236</v>
      </c>
      <c r="B17" s="75"/>
      <c r="C17" s="75"/>
      <c r="D17" s="76"/>
      <c r="E17" s="6">
        <v>1</v>
      </c>
      <c r="F17" s="14" t="s">
        <v>11</v>
      </c>
      <c r="G17" s="56" t="s">
        <v>5</v>
      </c>
      <c r="H17" s="56" t="s">
        <v>9</v>
      </c>
      <c r="I17" s="56" t="s">
        <v>6</v>
      </c>
    </row>
    <row r="18" spans="1:9" ht="20.100000000000001" customHeight="1" x14ac:dyDescent="0.4">
      <c r="A18" s="75" t="s">
        <v>237</v>
      </c>
      <c r="B18" s="75"/>
      <c r="C18" s="75"/>
      <c r="D18" s="76"/>
      <c r="E18" s="6">
        <v>1</v>
      </c>
      <c r="F18" s="14" t="s">
        <v>11</v>
      </c>
      <c r="G18" s="56" t="s">
        <v>5</v>
      </c>
      <c r="H18" s="56" t="s">
        <v>9</v>
      </c>
      <c r="I18" s="56" t="s">
        <v>6</v>
      </c>
    </row>
    <row r="19" spans="1:9" ht="20.100000000000001" customHeight="1" x14ac:dyDescent="0.4">
      <c r="A19" s="83" t="s">
        <v>238</v>
      </c>
      <c r="B19" s="83"/>
      <c r="C19" s="83"/>
      <c r="D19" s="84"/>
      <c r="E19" s="6">
        <v>4</v>
      </c>
      <c r="F19" s="14" t="s">
        <v>11</v>
      </c>
      <c r="G19" s="56" t="s">
        <v>5</v>
      </c>
      <c r="H19" s="56" t="s">
        <v>9</v>
      </c>
      <c r="I19" s="56" t="s">
        <v>6</v>
      </c>
    </row>
    <row r="20" spans="1:9" ht="20.100000000000001" customHeight="1" x14ac:dyDescent="0.4">
      <c r="A20" s="75" t="s">
        <v>239</v>
      </c>
      <c r="B20" s="75"/>
      <c r="C20" s="75"/>
      <c r="D20" s="76"/>
      <c r="E20" s="6">
        <v>2</v>
      </c>
      <c r="F20" s="14" t="s">
        <v>11</v>
      </c>
      <c r="G20" s="56" t="s">
        <v>5</v>
      </c>
      <c r="H20" s="56" t="s">
        <v>9</v>
      </c>
      <c r="I20" s="56" t="s">
        <v>6</v>
      </c>
    </row>
    <row r="21" spans="1:9" ht="20.100000000000001" customHeight="1" x14ac:dyDescent="0.4">
      <c r="A21" s="75" t="s">
        <v>240</v>
      </c>
      <c r="B21" s="75"/>
      <c r="C21" s="75"/>
      <c r="D21" s="76"/>
      <c r="E21" s="6">
        <v>1</v>
      </c>
      <c r="F21" s="14" t="s">
        <v>11</v>
      </c>
      <c r="G21" s="56" t="s">
        <v>5</v>
      </c>
      <c r="H21" s="56" t="s">
        <v>9</v>
      </c>
      <c r="I21" s="56" t="s">
        <v>6</v>
      </c>
    </row>
    <row r="22" spans="1:9" ht="20.100000000000001" customHeight="1" x14ac:dyDescent="0.4">
      <c r="A22" s="75" t="s">
        <v>241</v>
      </c>
      <c r="B22" s="75"/>
      <c r="C22" s="75"/>
      <c r="D22" s="76"/>
      <c r="E22" s="6">
        <v>1</v>
      </c>
      <c r="F22" s="14" t="s">
        <v>11</v>
      </c>
      <c r="G22" s="56" t="s">
        <v>5</v>
      </c>
      <c r="H22" s="56" t="s">
        <v>9</v>
      </c>
      <c r="I22" s="56" t="s">
        <v>6</v>
      </c>
    </row>
    <row r="23" spans="1:9" ht="20.100000000000001" customHeight="1" x14ac:dyDescent="0.4">
      <c r="A23" s="75" t="s">
        <v>242</v>
      </c>
      <c r="B23" s="75"/>
      <c r="C23" s="75"/>
      <c r="D23" s="76"/>
      <c r="E23" s="6">
        <v>1</v>
      </c>
      <c r="F23" s="14" t="s">
        <v>11</v>
      </c>
      <c r="G23" s="56" t="s">
        <v>5</v>
      </c>
      <c r="H23" s="56" t="s">
        <v>9</v>
      </c>
      <c r="I23" s="56" t="s">
        <v>6</v>
      </c>
    </row>
    <row r="24" spans="1:9" ht="20.100000000000001" customHeight="1" x14ac:dyDescent="0.4">
      <c r="A24" s="75" t="s">
        <v>243</v>
      </c>
      <c r="B24" s="75"/>
      <c r="C24" s="75"/>
      <c r="D24" s="76"/>
      <c r="E24" s="6">
        <v>2</v>
      </c>
      <c r="F24" s="14" t="s">
        <v>11</v>
      </c>
      <c r="G24" s="56" t="s">
        <v>5</v>
      </c>
      <c r="H24" s="56" t="s">
        <v>9</v>
      </c>
      <c r="I24" s="56" t="s">
        <v>6</v>
      </c>
    </row>
    <row r="25" spans="1:9" ht="20.100000000000001" customHeight="1" x14ac:dyDescent="0.4">
      <c r="A25" s="75" t="s">
        <v>244</v>
      </c>
      <c r="B25" s="75"/>
      <c r="C25" s="75"/>
      <c r="D25" s="76"/>
      <c r="E25" s="6">
        <v>2</v>
      </c>
      <c r="F25" s="14" t="s">
        <v>11</v>
      </c>
      <c r="G25" s="56" t="s">
        <v>5</v>
      </c>
      <c r="H25" s="56" t="s">
        <v>9</v>
      </c>
      <c r="I25" s="56" t="s">
        <v>6</v>
      </c>
    </row>
    <row r="26" spans="1:9" ht="20.100000000000001" customHeight="1" x14ac:dyDescent="0.4">
      <c r="A26" s="75" t="s">
        <v>245</v>
      </c>
      <c r="B26" s="75"/>
      <c r="C26" s="75"/>
      <c r="D26" s="76"/>
      <c r="E26" s="6">
        <v>4</v>
      </c>
      <c r="F26" s="14" t="s">
        <v>11</v>
      </c>
      <c r="G26" s="56" t="s">
        <v>5</v>
      </c>
      <c r="H26" s="56" t="s">
        <v>9</v>
      </c>
      <c r="I26" s="56" t="s">
        <v>6</v>
      </c>
    </row>
    <row r="27" spans="1:9" ht="20.100000000000001" customHeight="1" x14ac:dyDescent="0.4">
      <c r="A27" s="75" t="s">
        <v>246</v>
      </c>
      <c r="B27" s="75"/>
      <c r="C27" s="75"/>
      <c r="D27" s="76"/>
      <c r="E27" s="6">
        <v>1</v>
      </c>
      <c r="F27" s="14" t="s">
        <v>11</v>
      </c>
      <c r="G27" s="56" t="s">
        <v>5</v>
      </c>
      <c r="H27" s="56" t="s">
        <v>9</v>
      </c>
      <c r="I27" s="56" t="s">
        <v>6</v>
      </c>
    </row>
    <row r="28" spans="1:9" ht="20.100000000000001" customHeight="1" x14ac:dyDescent="0.25">
      <c r="A28" s="4"/>
      <c r="B28" s="4"/>
      <c r="C28" s="4"/>
      <c r="E28" s="4"/>
      <c r="F28" s="4"/>
      <c r="G28" s="4"/>
      <c r="H28" s="4"/>
    </row>
    <row r="29" spans="1:9" ht="20.100000000000001" customHeight="1" thickBot="1" x14ac:dyDescent="0.45">
      <c r="A29" s="67" t="s">
        <v>3</v>
      </c>
      <c r="B29" s="68"/>
      <c r="C29" s="67"/>
      <c r="D29" s="68"/>
      <c r="E29" s="12" t="s">
        <v>10</v>
      </c>
      <c r="F29" s="69" t="s">
        <v>7</v>
      </c>
      <c r="G29" s="70"/>
      <c r="H29" s="70"/>
      <c r="I29" s="3"/>
    </row>
    <row r="30" spans="1:9" ht="20.100000000000001" customHeight="1" thickTop="1" x14ac:dyDescent="0.4">
      <c r="A30" s="77"/>
      <c r="B30" s="77"/>
      <c r="C30" s="77"/>
      <c r="D30" s="78"/>
      <c r="E30" s="10"/>
      <c r="F30" s="15" t="s">
        <v>11</v>
      </c>
      <c r="G30" s="72" t="s">
        <v>5</v>
      </c>
      <c r="H30" s="72"/>
      <c r="I30" s="57" t="s">
        <v>6</v>
      </c>
    </row>
    <row r="31" spans="1:9" ht="20.100000000000001" customHeight="1" x14ac:dyDescent="0.4">
      <c r="A31" s="79"/>
      <c r="B31" s="79"/>
      <c r="C31" s="79"/>
      <c r="D31" s="80"/>
      <c r="E31" s="10"/>
      <c r="F31" s="14" t="s">
        <v>11</v>
      </c>
      <c r="G31" s="71" t="s">
        <v>5</v>
      </c>
      <c r="H31" s="71"/>
      <c r="I31" s="56" t="s">
        <v>6</v>
      </c>
    </row>
    <row r="32" spans="1:9" ht="20.100000000000001" customHeight="1" x14ac:dyDescent="0.4">
      <c r="A32" s="73"/>
      <c r="B32" s="73"/>
      <c r="C32" s="73"/>
      <c r="D32" s="74"/>
      <c r="E32" s="10"/>
      <c r="F32" s="14" t="s">
        <v>11</v>
      </c>
      <c r="G32" s="71" t="s">
        <v>5</v>
      </c>
      <c r="H32" s="71"/>
      <c r="I32" s="56" t="s">
        <v>6</v>
      </c>
    </row>
    <row r="33" spans="1:9" ht="20.100000000000001" customHeight="1" x14ac:dyDescent="0.4">
      <c r="A33" s="73"/>
      <c r="B33" s="73"/>
      <c r="C33" s="73"/>
      <c r="D33" s="74"/>
      <c r="E33" s="10"/>
      <c r="F33" s="14" t="s">
        <v>11</v>
      </c>
      <c r="G33" s="71" t="s">
        <v>5</v>
      </c>
      <c r="H33" s="71"/>
      <c r="I33" s="56" t="s">
        <v>6</v>
      </c>
    </row>
    <row r="34" spans="1:9" ht="20.100000000000001" customHeight="1" x14ac:dyDescent="0.4">
      <c r="A34" s="73"/>
      <c r="B34" s="73"/>
      <c r="C34" s="73"/>
      <c r="D34" s="74"/>
      <c r="E34" s="10"/>
      <c r="F34" s="14" t="s">
        <v>11</v>
      </c>
      <c r="G34" s="71" t="s">
        <v>5</v>
      </c>
      <c r="H34" s="71"/>
      <c r="I34" s="56" t="s">
        <v>6</v>
      </c>
    </row>
    <row r="35" spans="1:9" ht="20.100000000000001" customHeight="1" x14ac:dyDescent="0.4">
      <c r="A35" s="73"/>
      <c r="B35" s="73"/>
      <c r="C35" s="73"/>
      <c r="D35" s="74"/>
      <c r="E35" s="10"/>
      <c r="F35" s="14" t="s">
        <v>11</v>
      </c>
      <c r="G35" s="71" t="s">
        <v>5</v>
      </c>
      <c r="H35" s="71"/>
      <c r="I35" s="56" t="s">
        <v>6</v>
      </c>
    </row>
    <row r="36" spans="1:9" ht="20.100000000000001" customHeight="1" x14ac:dyDescent="0.4">
      <c r="A36" s="73"/>
      <c r="B36" s="73"/>
      <c r="C36" s="73"/>
      <c r="D36" s="74"/>
      <c r="E36" s="10"/>
      <c r="F36" s="14" t="s">
        <v>11</v>
      </c>
      <c r="G36" s="71" t="s">
        <v>5</v>
      </c>
      <c r="H36" s="71"/>
      <c r="I36" s="56" t="s">
        <v>6</v>
      </c>
    </row>
    <row r="37" spans="1:9" ht="20.100000000000001" customHeight="1" x14ac:dyDescent="0.4">
      <c r="A37" s="73"/>
      <c r="B37" s="73"/>
      <c r="C37" s="73"/>
      <c r="D37" s="74"/>
      <c r="E37" s="10"/>
      <c r="F37" s="14" t="s">
        <v>11</v>
      </c>
      <c r="G37" s="71" t="s">
        <v>5</v>
      </c>
      <c r="H37" s="71"/>
      <c r="I37" s="56" t="s">
        <v>6</v>
      </c>
    </row>
    <row r="38" spans="1:9" ht="19.7" customHeight="1" x14ac:dyDescent="0.4">
      <c r="A38" s="73"/>
      <c r="B38" s="73"/>
      <c r="C38" s="73"/>
      <c r="D38" s="74"/>
      <c r="E38" s="10"/>
      <c r="F38" s="14" t="s">
        <v>11</v>
      </c>
      <c r="G38" s="71" t="s">
        <v>5</v>
      </c>
      <c r="H38" s="71"/>
      <c r="I38" s="56" t="s">
        <v>6</v>
      </c>
    </row>
    <row r="39" spans="1:9" ht="10.5" customHeight="1" x14ac:dyDescent="0.25">
      <c r="A39" s="4"/>
      <c r="B39" s="4"/>
    </row>
    <row r="40" spans="1:9" ht="26.25" x14ac:dyDescent="0.4">
      <c r="A40" s="4" t="s">
        <v>12</v>
      </c>
      <c r="B40" s="56" t="s">
        <v>13</v>
      </c>
      <c r="D40" s="56" t="s">
        <v>15</v>
      </c>
      <c r="F40" s="56" t="s">
        <v>14</v>
      </c>
      <c r="G40" s="56" t="s">
        <v>16</v>
      </c>
    </row>
  </sheetData>
  <mergeCells count="46">
    <mergeCell ref="A13:D13"/>
    <mergeCell ref="B1:E1"/>
    <mergeCell ref="A3:D3"/>
    <mergeCell ref="A5:D5"/>
    <mergeCell ref="F5:H5"/>
    <mergeCell ref="A6:D6"/>
    <mergeCell ref="A7:D7"/>
    <mergeCell ref="A8:D8"/>
    <mergeCell ref="A9:D9"/>
    <mergeCell ref="A10:D10"/>
    <mergeCell ref="A11:D11"/>
    <mergeCell ref="A12:D12"/>
    <mergeCell ref="A27:D27"/>
    <mergeCell ref="A14:D14"/>
    <mergeCell ref="A15:D15"/>
    <mergeCell ref="A16:D16"/>
    <mergeCell ref="A19:D19"/>
    <mergeCell ref="A20:D20"/>
    <mergeCell ref="A21:D21"/>
    <mergeCell ref="A22:D22"/>
    <mergeCell ref="A23:D23"/>
    <mergeCell ref="A24:D24"/>
    <mergeCell ref="A25:D25"/>
    <mergeCell ref="A26:D26"/>
    <mergeCell ref="A29:D29"/>
    <mergeCell ref="F29:H29"/>
    <mergeCell ref="A30:D30"/>
    <mergeCell ref="G30:H30"/>
    <mergeCell ref="A31:D31"/>
    <mergeCell ref="G31:H31"/>
    <mergeCell ref="A38:D38"/>
    <mergeCell ref="G38:H38"/>
    <mergeCell ref="A17:D17"/>
    <mergeCell ref="A18:D18"/>
    <mergeCell ref="A35:D35"/>
    <mergeCell ref="G35:H35"/>
    <mergeCell ref="A36:D36"/>
    <mergeCell ref="G36:H36"/>
    <mergeCell ref="A37:D37"/>
    <mergeCell ref="G37:H37"/>
    <mergeCell ref="A32:D32"/>
    <mergeCell ref="G32:H32"/>
    <mergeCell ref="A33:D33"/>
    <mergeCell ref="G33:H33"/>
    <mergeCell ref="A34:D34"/>
    <mergeCell ref="G34:H34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>
    <tabColor rgb="FFFFFF00"/>
  </sheetPr>
  <dimension ref="A1:I38"/>
  <sheetViews>
    <sheetView showGridLines="0" view="pageLayout" topLeftCell="A3" zoomScaleNormal="100" workbookViewId="0">
      <selection activeCell="E35" sqref="E35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 t="s">
        <v>176</v>
      </c>
      <c r="C1" s="64"/>
      <c r="D1" s="64"/>
      <c r="E1" s="64"/>
      <c r="F1" s="1"/>
      <c r="G1" s="7" t="s">
        <v>4</v>
      </c>
      <c r="H1">
        <f>SUM(E6:E37)</f>
        <v>85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65" t="s">
        <v>1</v>
      </c>
      <c r="B3" s="65"/>
      <c r="C3" s="66"/>
      <c r="D3" s="66"/>
      <c r="E3" s="20" t="s">
        <v>177</v>
      </c>
    </row>
    <row r="5" spans="1:9" s="3" customFormat="1" ht="49.5" customHeight="1" thickBot="1" x14ac:dyDescent="0.45">
      <c r="A5" s="67" t="s">
        <v>2</v>
      </c>
      <c r="B5" s="67"/>
      <c r="C5" s="67"/>
      <c r="D5" s="68"/>
      <c r="E5" s="28" t="s">
        <v>10</v>
      </c>
      <c r="F5" s="69" t="s">
        <v>7</v>
      </c>
      <c r="G5" s="70"/>
      <c r="H5" s="70"/>
    </row>
    <row r="6" spans="1:9" s="3" customFormat="1" ht="20.100000000000001" customHeight="1" thickTop="1" x14ac:dyDescent="0.4">
      <c r="A6" s="85" t="s">
        <v>178</v>
      </c>
      <c r="B6" s="85"/>
      <c r="C6" s="85"/>
      <c r="D6" s="86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00000000000001" customHeight="1" x14ac:dyDescent="0.4">
      <c r="A7" s="81" t="s">
        <v>179</v>
      </c>
      <c r="B7" s="81"/>
      <c r="C7" s="81"/>
      <c r="D7" s="82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00000000000001" customHeight="1" x14ac:dyDescent="0.4">
      <c r="A8" s="81" t="s">
        <v>180</v>
      </c>
      <c r="B8" s="81"/>
      <c r="C8" s="81"/>
      <c r="D8" s="82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00000000000001" customHeight="1" x14ac:dyDescent="0.4">
      <c r="A9" s="81" t="s">
        <v>181</v>
      </c>
      <c r="B9" s="81"/>
      <c r="C9" s="81"/>
      <c r="D9" s="82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00000000000001" customHeight="1" x14ac:dyDescent="0.4">
      <c r="A10" s="81" t="s">
        <v>182</v>
      </c>
      <c r="B10" s="81"/>
      <c r="C10" s="81"/>
      <c r="D10" s="82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00000000000001" customHeight="1" x14ac:dyDescent="0.4">
      <c r="A11" s="81" t="s">
        <v>183</v>
      </c>
      <c r="B11" s="81"/>
      <c r="C11" s="81"/>
      <c r="D11" s="82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00000000000001" customHeight="1" x14ac:dyDescent="0.4">
      <c r="A12" s="81" t="s">
        <v>184</v>
      </c>
      <c r="B12" s="81"/>
      <c r="C12" s="81"/>
      <c r="D12" s="82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00000000000001" customHeight="1" x14ac:dyDescent="0.4">
      <c r="A13" s="81"/>
      <c r="B13" s="81"/>
      <c r="C13" s="81"/>
      <c r="D13" s="82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00000000000001" customHeight="1" x14ac:dyDescent="0.4">
      <c r="A14" s="81"/>
      <c r="B14" s="81"/>
      <c r="C14" s="81"/>
      <c r="D14" s="82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00000000000001" customHeight="1" x14ac:dyDescent="0.4">
      <c r="A15" s="75"/>
      <c r="B15" s="75"/>
      <c r="C15" s="75"/>
      <c r="D15" s="76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00000000000001" customHeight="1" x14ac:dyDescent="0.4">
      <c r="A16" s="75"/>
      <c r="B16" s="75"/>
      <c r="C16" s="75"/>
      <c r="D16" s="76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00000000000001" customHeight="1" x14ac:dyDescent="0.4">
      <c r="A17" s="75"/>
      <c r="B17" s="75"/>
      <c r="C17" s="75"/>
      <c r="D17" s="76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00000000000001" customHeight="1" x14ac:dyDescent="0.4">
      <c r="A18" s="75"/>
      <c r="B18" s="75"/>
      <c r="C18" s="75"/>
      <c r="D18" s="76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00000000000001" customHeight="1" x14ac:dyDescent="0.4">
      <c r="A19" s="75"/>
      <c r="B19" s="75"/>
      <c r="C19" s="75"/>
      <c r="D19" s="76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00000000000001" customHeight="1" x14ac:dyDescent="0.4">
      <c r="A20" s="75"/>
      <c r="B20" s="75"/>
      <c r="C20" s="75"/>
      <c r="D20" s="76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00000000000001" customHeight="1" x14ac:dyDescent="0.4">
      <c r="A21" s="75"/>
      <c r="B21" s="75"/>
      <c r="C21" s="75"/>
      <c r="D21" s="76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.100000000000001" customHeight="1" x14ac:dyDescent="0.4">
      <c r="A22" s="75"/>
      <c r="B22" s="75"/>
      <c r="C22" s="75"/>
      <c r="D22" s="76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00000000000001" customHeight="1" x14ac:dyDescent="0.4">
      <c r="A23" s="75"/>
      <c r="B23" s="75"/>
      <c r="C23" s="75"/>
      <c r="D23" s="76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00000000000001" customHeight="1" x14ac:dyDescent="0.4">
      <c r="A24" s="75"/>
      <c r="B24" s="75"/>
      <c r="C24" s="75"/>
      <c r="D24" s="76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.100000000000001" customHeight="1" x14ac:dyDescent="0.4">
      <c r="A25" s="75"/>
      <c r="B25" s="75"/>
      <c r="C25" s="75"/>
      <c r="D25" s="76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.100000000000001" customHeight="1" x14ac:dyDescent="0.25">
      <c r="A26" s="4"/>
      <c r="B26" s="4"/>
      <c r="C26" s="4"/>
      <c r="E26" s="4"/>
      <c r="F26" s="4"/>
      <c r="G26" s="4"/>
      <c r="H26" s="4"/>
    </row>
    <row r="27" spans="1:9" ht="20.100000000000001" customHeight="1" thickBot="1" x14ac:dyDescent="0.45">
      <c r="A27" s="67" t="s">
        <v>3</v>
      </c>
      <c r="B27" s="68"/>
      <c r="C27" s="67"/>
      <c r="D27" s="68"/>
      <c r="E27" s="12" t="s">
        <v>10</v>
      </c>
      <c r="F27" s="69" t="s">
        <v>7</v>
      </c>
      <c r="G27" s="70"/>
      <c r="H27" s="70"/>
      <c r="I27" s="3"/>
    </row>
    <row r="28" spans="1:9" ht="20.100000000000001" customHeight="1" thickTop="1" x14ac:dyDescent="0.4">
      <c r="A28" s="77" t="s">
        <v>186</v>
      </c>
      <c r="B28" s="77"/>
      <c r="C28" s="77"/>
      <c r="D28" s="78"/>
      <c r="E28" s="10">
        <v>9</v>
      </c>
      <c r="F28" s="15" t="s">
        <v>11</v>
      </c>
      <c r="G28" s="72" t="s">
        <v>5</v>
      </c>
      <c r="H28" s="72"/>
      <c r="I28" s="29" t="s">
        <v>6</v>
      </c>
    </row>
    <row r="29" spans="1:9" ht="20.100000000000001" customHeight="1" x14ac:dyDescent="0.4">
      <c r="A29" s="79" t="s">
        <v>185</v>
      </c>
      <c r="B29" s="79"/>
      <c r="C29" s="79"/>
      <c r="D29" s="80"/>
      <c r="E29" s="10">
        <v>2</v>
      </c>
      <c r="F29" s="14" t="s">
        <v>11</v>
      </c>
      <c r="G29" s="71" t="s">
        <v>5</v>
      </c>
      <c r="H29" s="71"/>
      <c r="I29" s="27" t="s">
        <v>6</v>
      </c>
    </row>
    <row r="30" spans="1:9" ht="20.100000000000001" customHeight="1" x14ac:dyDescent="0.4">
      <c r="A30" s="73" t="s">
        <v>187</v>
      </c>
      <c r="B30" s="73"/>
      <c r="C30" s="73"/>
      <c r="D30" s="74"/>
      <c r="E30" s="10">
        <v>1</v>
      </c>
      <c r="F30" s="14" t="s">
        <v>11</v>
      </c>
      <c r="G30" s="71" t="s">
        <v>5</v>
      </c>
      <c r="H30" s="71"/>
      <c r="I30" s="27" t="s">
        <v>6</v>
      </c>
    </row>
    <row r="31" spans="1:9" ht="20.100000000000001" customHeight="1" x14ac:dyDescent="0.4">
      <c r="A31" s="73" t="s">
        <v>188</v>
      </c>
      <c r="B31" s="73"/>
      <c r="C31" s="73"/>
      <c r="D31" s="74"/>
      <c r="E31" s="10">
        <v>1</v>
      </c>
      <c r="F31" s="14" t="s">
        <v>11</v>
      </c>
      <c r="G31" s="71" t="s">
        <v>5</v>
      </c>
      <c r="H31" s="71"/>
      <c r="I31" s="27" t="s">
        <v>6</v>
      </c>
    </row>
    <row r="32" spans="1:9" ht="20.100000000000001" customHeight="1" x14ac:dyDescent="0.4">
      <c r="A32" s="73" t="s">
        <v>189</v>
      </c>
      <c r="B32" s="73"/>
      <c r="C32" s="73"/>
      <c r="D32" s="74"/>
      <c r="E32" s="10">
        <v>1</v>
      </c>
      <c r="F32" s="14" t="s">
        <v>11</v>
      </c>
      <c r="G32" s="71" t="s">
        <v>5</v>
      </c>
      <c r="H32" s="71"/>
      <c r="I32" s="27" t="s">
        <v>6</v>
      </c>
    </row>
    <row r="33" spans="1:9" ht="20.100000000000001" customHeight="1" x14ac:dyDescent="0.4">
      <c r="A33" s="73" t="s">
        <v>37</v>
      </c>
      <c r="B33" s="73"/>
      <c r="C33" s="73"/>
      <c r="D33" s="74"/>
      <c r="E33" s="10">
        <v>22</v>
      </c>
      <c r="F33" s="14" t="s">
        <v>11</v>
      </c>
      <c r="G33" s="71" t="s">
        <v>5</v>
      </c>
      <c r="H33" s="71"/>
      <c r="I33" s="50" t="s">
        <v>6</v>
      </c>
    </row>
    <row r="34" spans="1:9" ht="20.100000000000001" customHeight="1" x14ac:dyDescent="0.4">
      <c r="A34" s="73" t="s">
        <v>190</v>
      </c>
      <c r="B34" s="73"/>
      <c r="C34" s="73"/>
      <c r="D34" s="74"/>
      <c r="E34" s="10">
        <v>9</v>
      </c>
      <c r="F34" s="14" t="s">
        <v>11</v>
      </c>
      <c r="G34" s="71" t="s">
        <v>5</v>
      </c>
      <c r="H34" s="71"/>
      <c r="I34" s="50" t="s">
        <v>6</v>
      </c>
    </row>
    <row r="35" spans="1:9" ht="20.100000000000001" customHeight="1" x14ac:dyDescent="0.4">
      <c r="A35" s="73" t="s">
        <v>191</v>
      </c>
      <c r="B35" s="73"/>
      <c r="C35" s="73"/>
      <c r="D35" s="74"/>
      <c r="E35" s="10">
        <v>13</v>
      </c>
      <c r="F35" s="14" t="s">
        <v>11</v>
      </c>
      <c r="G35" s="71" t="s">
        <v>5</v>
      </c>
      <c r="H35" s="71"/>
      <c r="I35" s="50" t="s">
        <v>6</v>
      </c>
    </row>
    <row r="36" spans="1:9" ht="19.7" customHeight="1" x14ac:dyDescent="0.4">
      <c r="A36" s="73" t="s">
        <v>192</v>
      </c>
      <c r="B36" s="73"/>
      <c r="C36" s="73"/>
      <c r="D36" s="74"/>
      <c r="E36" s="10">
        <v>9</v>
      </c>
      <c r="F36" s="14" t="s">
        <v>11</v>
      </c>
      <c r="G36" s="71" t="s">
        <v>5</v>
      </c>
      <c r="H36" s="71"/>
      <c r="I36" s="27" t="s">
        <v>6</v>
      </c>
    </row>
    <row r="37" spans="1:9" ht="10.5" customHeight="1" x14ac:dyDescent="0.25">
      <c r="A37" s="4"/>
      <c r="B37" s="4"/>
    </row>
    <row r="38" spans="1:9" ht="26.25" x14ac:dyDescent="0.4">
      <c r="A38" s="4" t="s">
        <v>12</v>
      </c>
      <c r="B38" s="27" t="s">
        <v>13</v>
      </c>
      <c r="D38" s="27" t="s">
        <v>15</v>
      </c>
      <c r="F38" s="27" t="s">
        <v>14</v>
      </c>
      <c r="G38" s="27" t="s">
        <v>16</v>
      </c>
    </row>
  </sheetData>
  <mergeCells count="44">
    <mergeCell ref="G28:H28"/>
    <mergeCell ref="G29:H29"/>
    <mergeCell ref="G30:H30"/>
    <mergeCell ref="G31:H31"/>
    <mergeCell ref="G32:H32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32:D32"/>
    <mergeCell ref="A25:D25"/>
    <mergeCell ref="A28:D28"/>
    <mergeCell ref="A29:D29"/>
    <mergeCell ref="A30:D30"/>
    <mergeCell ref="A31:D31"/>
    <mergeCell ref="A20:D20"/>
    <mergeCell ref="A21:D21"/>
    <mergeCell ref="A22:D22"/>
    <mergeCell ref="A23:D23"/>
    <mergeCell ref="A24:D24"/>
    <mergeCell ref="A36:D36"/>
    <mergeCell ref="G35:H35"/>
    <mergeCell ref="A34:D34"/>
    <mergeCell ref="G34:H34"/>
    <mergeCell ref="G33:H33"/>
    <mergeCell ref="A35:D35"/>
    <mergeCell ref="G36:H36"/>
    <mergeCell ref="A33:D33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 t="s">
        <v>17</v>
      </c>
      <c r="C1" s="64"/>
      <c r="D1" s="64"/>
      <c r="E1" s="64"/>
      <c r="F1" s="1"/>
      <c r="G1" s="7" t="s">
        <v>4</v>
      </c>
      <c r="H1" s="2">
        <f>SUM(E6:E25)</f>
        <v>22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65" t="s">
        <v>1</v>
      </c>
      <c r="B3" s="65"/>
      <c r="C3" s="66"/>
      <c r="D3" s="66"/>
      <c r="E3" s="20" t="s">
        <v>166</v>
      </c>
    </row>
    <row r="5" spans="1:9" s="3" customFormat="1" ht="49.5" customHeight="1" thickBot="1" x14ac:dyDescent="0.45">
      <c r="A5" s="67" t="s">
        <v>2</v>
      </c>
      <c r="B5" s="67"/>
      <c r="C5" s="67"/>
      <c r="D5" s="68"/>
      <c r="E5" s="24" t="s">
        <v>10</v>
      </c>
      <c r="F5" s="69" t="s">
        <v>7</v>
      </c>
      <c r="G5" s="70"/>
      <c r="H5" s="70"/>
    </row>
    <row r="6" spans="1:9" s="3" customFormat="1" ht="19.7" customHeight="1" thickTop="1" x14ac:dyDescent="0.4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" customHeight="1" x14ac:dyDescent="0.4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" customHeight="1" x14ac:dyDescent="0.4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" customHeight="1" x14ac:dyDescent="0.4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" customHeight="1" x14ac:dyDescent="0.4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" customHeight="1" x14ac:dyDescent="0.4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" customHeight="1" x14ac:dyDescent="0.4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" customHeight="1" x14ac:dyDescent="0.4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" customHeight="1" x14ac:dyDescent="0.4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" customHeight="1" x14ac:dyDescent="0.4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" customHeight="1" x14ac:dyDescent="0.4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" customHeight="1" x14ac:dyDescent="0.4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" customHeight="1" x14ac:dyDescent="0.4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" customHeight="1" x14ac:dyDescent="0.4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" customHeight="1" x14ac:dyDescent="0.4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" customHeight="1" x14ac:dyDescent="0.4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67" t="s">
        <v>3</v>
      </c>
      <c r="B27" s="68"/>
      <c r="C27" s="67"/>
      <c r="D27" s="68"/>
      <c r="E27" s="12" t="s">
        <v>10</v>
      </c>
      <c r="F27" s="69" t="s">
        <v>7</v>
      </c>
      <c r="G27" s="70"/>
      <c r="H27" s="70"/>
      <c r="I27" s="3"/>
    </row>
    <row r="28" spans="1:9" ht="19.7" customHeight="1" thickTop="1" x14ac:dyDescent="0.4">
      <c r="A28" s="22" t="s">
        <v>20</v>
      </c>
      <c r="B28" s="17"/>
      <c r="C28" s="17"/>
      <c r="D28" s="18"/>
      <c r="E28" s="10">
        <v>8</v>
      </c>
      <c r="F28" s="15" t="s">
        <v>11</v>
      </c>
      <c r="G28" s="72" t="s">
        <v>5</v>
      </c>
      <c r="H28" s="72"/>
      <c r="I28" s="26" t="s">
        <v>6</v>
      </c>
    </row>
    <row r="29" spans="1:9" ht="19.7" customHeight="1" x14ac:dyDescent="0.4">
      <c r="A29" s="23" t="s">
        <v>21</v>
      </c>
      <c r="B29" s="10"/>
      <c r="C29" s="10"/>
      <c r="D29" s="19"/>
      <c r="E29" s="10">
        <v>8</v>
      </c>
      <c r="F29" s="14" t="s">
        <v>11</v>
      </c>
      <c r="G29" s="71" t="s">
        <v>5</v>
      </c>
      <c r="H29" s="71"/>
      <c r="I29" s="25" t="s">
        <v>6</v>
      </c>
    </row>
    <row r="30" spans="1:9" ht="19.7" customHeight="1" x14ac:dyDescent="0.4">
      <c r="A30" s="10"/>
      <c r="B30" s="10"/>
      <c r="C30" s="10"/>
      <c r="D30" s="19"/>
      <c r="E30" s="10"/>
      <c r="F30" s="14" t="s">
        <v>11</v>
      </c>
      <c r="G30" s="71" t="s">
        <v>5</v>
      </c>
      <c r="H30" s="71"/>
      <c r="I30" s="25" t="s">
        <v>6</v>
      </c>
    </row>
    <row r="31" spans="1:9" ht="19.7" customHeight="1" x14ac:dyDescent="0.4">
      <c r="A31" s="10"/>
      <c r="B31" s="10"/>
      <c r="C31" s="10"/>
      <c r="D31" s="19"/>
      <c r="E31" s="10"/>
      <c r="F31" s="14" t="s">
        <v>11</v>
      </c>
      <c r="G31" s="71" t="s">
        <v>5</v>
      </c>
      <c r="H31" s="71"/>
      <c r="I31" s="25" t="s">
        <v>6</v>
      </c>
    </row>
    <row r="32" spans="1:9" ht="19.7" customHeight="1" x14ac:dyDescent="0.4">
      <c r="A32" s="10"/>
      <c r="B32" s="10"/>
      <c r="C32" s="10"/>
      <c r="D32" s="19"/>
      <c r="E32" s="10"/>
      <c r="F32" s="14" t="s">
        <v>11</v>
      </c>
      <c r="G32" s="71" t="s">
        <v>5</v>
      </c>
      <c r="H32" s="71"/>
      <c r="I32" s="25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71" t="s">
        <v>5</v>
      </c>
      <c r="H33" s="71"/>
      <c r="I33" s="25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3" customWidth="1"/>
    <col min="5" max="5" width="5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 t="s">
        <v>25</v>
      </c>
      <c r="C1" s="64"/>
      <c r="D1" s="64"/>
      <c r="E1" s="64"/>
      <c r="F1" s="1"/>
      <c r="G1" s="7" t="s">
        <v>4</v>
      </c>
      <c r="H1" s="2">
        <f>SUM(E6:E25)</f>
        <v>16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65" t="s">
        <v>1</v>
      </c>
      <c r="B3" s="65"/>
      <c r="C3" s="66"/>
      <c r="D3" s="66"/>
      <c r="E3" s="87" t="s">
        <v>26</v>
      </c>
      <c r="F3" s="87"/>
    </row>
    <row r="5" spans="1:9" s="3" customFormat="1" ht="49.5" customHeight="1" thickBot="1" x14ac:dyDescent="0.45">
      <c r="A5" s="67" t="s">
        <v>2</v>
      </c>
      <c r="B5" s="67"/>
      <c r="C5" s="67"/>
      <c r="D5" s="68"/>
      <c r="E5" s="24" t="s">
        <v>10</v>
      </c>
      <c r="F5" s="69" t="s">
        <v>7</v>
      </c>
      <c r="G5" s="70"/>
      <c r="H5" s="70"/>
    </row>
    <row r="6" spans="1:9" s="3" customFormat="1" ht="19.7" customHeight="1" thickTop="1" x14ac:dyDescent="0.4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" customHeight="1" x14ac:dyDescent="0.4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" customHeight="1" x14ac:dyDescent="0.4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" customHeight="1" x14ac:dyDescent="0.4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" customHeight="1" x14ac:dyDescent="0.4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" customHeight="1" x14ac:dyDescent="0.4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" customHeight="1" x14ac:dyDescent="0.4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" customHeight="1" x14ac:dyDescent="0.4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" customHeight="1" x14ac:dyDescent="0.4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" customHeight="1" x14ac:dyDescent="0.4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" customHeight="1" x14ac:dyDescent="0.4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" customHeight="1" x14ac:dyDescent="0.4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" customHeight="1" x14ac:dyDescent="0.4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" customHeight="1" x14ac:dyDescent="0.4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" customHeight="1" x14ac:dyDescent="0.4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" customHeight="1" x14ac:dyDescent="0.4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67" t="s">
        <v>3</v>
      </c>
      <c r="B27" s="68"/>
      <c r="C27" s="67"/>
      <c r="D27" s="68"/>
      <c r="E27" s="12" t="s">
        <v>10</v>
      </c>
      <c r="F27" s="69" t="s">
        <v>7</v>
      </c>
      <c r="G27" s="70"/>
      <c r="H27" s="70"/>
      <c r="I27" s="3"/>
    </row>
    <row r="28" spans="1:9" ht="19.7" customHeight="1" thickTop="1" x14ac:dyDescent="0.4">
      <c r="A28" s="21" t="s">
        <v>36</v>
      </c>
      <c r="B28" s="17"/>
      <c r="C28" s="17"/>
      <c r="D28" s="18"/>
      <c r="E28" s="23">
        <v>4</v>
      </c>
      <c r="F28" s="15" t="s">
        <v>11</v>
      </c>
      <c r="G28" s="72" t="s">
        <v>5</v>
      </c>
      <c r="H28" s="72"/>
      <c r="I28" s="26" t="s">
        <v>6</v>
      </c>
    </row>
    <row r="29" spans="1:9" ht="19.7" customHeight="1" x14ac:dyDescent="0.4">
      <c r="A29" s="23" t="s">
        <v>37</v>
      </c>
      <c r="B29" s="10"/>
      <c r="C29" s="10"/>
      <c r="D29" s="19"/>
      <c r="E29" s="23">
        <v>8</v>
      </c>
      <c r="F29" s="14" t="s">
        <v>11</v>
      </c>
      <c r="G29" s="71" t="s">
        <v>5</v>
      </c>
      <c r="H29" s="71"/>
      <c r="I29" s="25" t="s">
        <v>6</v>
      </c>
    </row>
    <row r="30" spans="1:9" ht="19.7" customHeight="1" x14ac:dyDescent="0.4">
      <c r="A30" s="23" t="s">
        <v>38</v>
      </c>
      <c r="B30" s="10"/>
      <c r="C30" s="10"/>
      <c r="D30" s="19"/>
      <c r="E30" s="23">
        <v>4</v>
      </c>
      <c r="F30" s="14" t="s">
        <v>11</v>
      </c>
      <c r="G30" s="71" t="s">
        <v>5</v>
      </c>
      <c r="H30" s="71"/>
      <c r="I30" s="25" t="s">
        <v>6</v>
      </c>
    </row>
    <row r="31" spans="1:9" ht="19.7" customHeight="1" x14ac:dyDescent="0.4">
      <c r="A31" s="23" t="s">
        <v>39</v>
      </c>
      <c r="B31" s="10"/>
      <c r="C31" s="10"/>
      <c r="D31" s="19"/>
      <c r="E31" s="23">
        <v>4</v>
      </c>
      <c r="F31" s="14" t="s">
        <v>11</v>
      </c>
      <c r="G31" s="71" t="s">
        <v>5</v>
      </c>
      <c r="H31" s="71"/>
      <c r="I31" s="25" t="s">
        <v>6</v>
      </c>
    </row>
    <row r="32" spans="1:9" ht="19.7" customHeight="1" x14ac:dyDescent="0.4">
      <c r="B32" s="10"/>
      <c r="C32" s="10"/>
      <c r="D32" s="19"/>
      <c r="E32" s="23"/>
      <c r="F32" s="14" t="s">
        <v>11</v>
      </c>
      <c r="G32" s="71" t="s">
        <v>5</v>
      </c>
      <c r="H32" s="71"/>
      <c r="I32" s="25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71" t="s">
        <v>5</v>
      </c>
      <c r="H33" s="71"/>
      <c r="I33" s="25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rgb="FFFF0000"/>
  </sheetPr>
  <dimension ref="A1:I38"/>
  <sheetViews>
    <sheetView showGridLines="0" view="pageLayout" zoomScaleNormal="100" workbookViewId="0">
      <selection activeCell="A6" sqref="A6:A25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1.6" customHeight="1" x14ac:dyDescent="0.4">
      <c r="A1" s="2" t="s">
        <v>0</v>
      </c>
      <c r="B1" s="64" t="s">
        <v>40</v>
      </c>
      <c r="C1" s="64"/>
      <c r="D1" s="64"/>
      <c r="E1" s="64"/>
      <c r="F1" s="1"/>
      <c r="G1" s="7" t="s">
        <v>4</v>
      </c>
      <c r="H1">
        <f>SUM(E6:E36)</f>
        <v>71</v>
      </c>
    </row>
    <row r="2" spans="1:9" ht="23.45" customHeight="1" x14ac:dyDescent="0.4">
      <c r="G2" s="7" t="s">
        <v>8</v>
      </c>
      <c r="H2" t="s">
        <v>261</v>
      </c>
    </row>
    <row r="3" spans="1:9" ht="22.5" customHeight="1" x14ac:dyDescent="0.35">
      <c r="A3" s="65" t="s">
        <v>1</v>
      </c>
      <c r="B3" s="65"/>
      <c r="C3" s="66"/>
      <c r="D3" s="66"/>
      <c r="E3" s="20" t="s">
        <v>41</v>
      </c>
    </row>
    <row r="5" spans="1:9" s="3" customFormat="1" ht="20.100000000000001" customHeight="1" thickBot="1" x14ac:dyDescent="0.45">
      <c r="A5" s="67" t="s">
        <v>2</v>
      </c>
      <c r="B5" s="67"/>
      <c r="C5" s="67"/>
      <c r="D5" s="68"/>
      <c r="E5" s="24" t="s">
        <v>10</v>
      </c>
      <c r="F5" s="69" t="s">
        <v>7</v>
      </c>
      <c r="G5" s="70"/>
      <c r="H5" s="70"/>
      <c r="I5" s="63"/>
    </row>
    <row r="6" spans="1:9" ht="20.100000000000001" customHeight="1" thickTop="1" x14ac:dyDescent="0.4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20.100000000000001" customHeight="1" x14ac:dyDescent="0.4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00000000000001" customHeight="1" x14ac:dyDescent="0.4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00000000000001" customHeight="1" x14ac:dyDescent="0.4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00000000000001" customHeight="1" x14ac:dyDescent="0.4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00000000000001" customHeight="1" x14ac:dyDescent="0.4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00000000000001" customHeight="1" x14ac:dyDescent="0.4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00000000000001" customHeight="1" x14ac:dyDescent="0.4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00000000000001" customHeight="1" x14ac:dyDescent="0.4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00000000000001" customHeight="1" x14ac:dyDescent="0.4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00000000000001" customHeight="1" x14ac:dyDescent="0.4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00000000000001" customHeight="1" x14ac:dyDescent="0.4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00000000000001" customHeight="1" x14ac:dyDescent="0.4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00000000000001" customHeight="1" x14ac:dyDescent="0.4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00000000000001" customHeight="1" x14ac:dyDescent="0.4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00000000000001" customHeight="1" x14ac:dyDescent="0.4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00000000000001" customHeight="1" x14ac:dyDescent="0.4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20.100000000000001" customHeight="1" x14ac:dyDescent="0.4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20.100000000000001" customHeight="1" x14ac:dyDescent="0.4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25">
      <c r="B25" s="4"/>
      <c r="C25" s="4"/>
      <c r="E25" s="4"/>
      <c r="F25" s="4"/>
      <c r="G25" s="4"/>
      <c r="H25" s="4"/>
    </row>
    <row r="26" spans="1:9" ht="20.100000000000001" customHeight="1" thickBot="1" x14ac:dyDescent="0.45">
      <c r="A26" s="67" t="s">
        <v>3</v>
      </c>
      <c r="B26" s="67"/>
      <c r="C26" s="67"/>
      <c r="D26" s="68"/>
      <c r="E26" s="12" t="s">
        <v>10</v>
      </c>
      <c r="F26" s="69" t="s">
        <v>7</v>
      </c>
      <c r="G26" s="70"/>
      <c r="H26" s="70"/>
      <c r="I26" s="3"/>
    </row>
    <row r="27" spans="1:9" ht="20.100000000000001" customHeight="1" thickTop="1" x14ac:dyDescent="0.4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20.100000000000001" customHeight="1" x14ac:dyDescent="0.4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20.100000000000001" customHeight="1" x14ac:dyDescent="0.4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20.100000000000001" customHeight="1" x14ac:dyDescent="0.4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20.100000000000001" customHeight="1" x14ac:dyDescent="0.4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20.100000000000001" customHeight="1" x14ac:dyDescent="0.4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20.100000000000001" customHeight="1" x14ac:dyDescent="0.4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20.100000000000001" customHeight="1" x14ac:dyDescent="0.4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20.100000000000001" customHeight="1" x14ac:dyDescent="0.4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20.100000000000001" customHeight="1" x14ac:dyDescent="0.4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25">
      <c r="A37" s="4"/>
      <c r="B37" s="4"/>
    </row>
    <row r="38" spans="1:9" ht="26.25" x14ac:dyDescent="0.4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>
    <tabColor rgb="FFFF0000"/>
  </sheetPr>
  <dimension ref="A1:I38"/>
  <sheetViews>
    <sheetView showGridLines="0" tabSelected="1" view="pageLayout" topLeftCell="A13" zoomScaleNormal="100" workbookViewId="0">
      <selection activeCell="A26" sqref="A26:D26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1.6" customHeight="1" x14ac:dyDescent="0.4">
      <c r="A1" s="2" t="s">
        <v>0</v>
      </c>
      <c r="B1" s="64" t="s">
        <v>40</v>
      </c>
      <c r="C1" s="64"/>
      <c r="D1" s="64"/>
      <c r="E1" s="64"/>
      <c r="F1" s="62"/>
      <c r="G1" s="7" t="s">
        <v>4</v>
      </c>
      <c r="H1">
        <f>SUM(E6:E36)</f>
        <v>75</v>
      </c>
    </row>
    <row r="2" spans="1:9" ht="23.45" customHeight="1" x14ac:dyDescent="0.4">
      <c r="G2" s="7" t="s">
        <v>8</v>
      </c>
      <c r="H2" t="s">
        <v>261</v>
      </c>
    </row>
    <row r="3" spans="1:9" ht="22.5" customHeight="1" x14ac:dyDescent="0.35">
      <c r="A3" s="65" t="s">
        <v>1</v>
      </c>
      <c r="B3" s="65"/>
      <c r="C3" s="66"/>
      <c r="D3" s="66"/>
      <c r="E3" s="20" t="s">
        <v>41</v>
      </c>
    </row>
    <row r="5" spans="1:9" s="3" customFormat="1" ht="20.100000000000001" customHeight="1" thickBot="1" x14ac:dyDescent="0.45">
      <c r="A5" s="67" t="s">
        <v>2</v>
      </c>
      <c r="B5" s="67"/>
      <c r="C5" s="67"/>
      <c r="D5" s="68"/>
      <c r="E5" s="60" t="s">
        <v>10</v>
      </c>
      <c r="F5" s="69" t="s">
        <v>7</v>
      </c>
      <c r="G5" s="70"/>
      <c r="H5" s="70"/>
    </row>
    <row r="6" spans="1:9" ht="20.100000000000001" customHeight="1" thickTop="1" x14ac:dyDescent="0.4">
      <c r="A6" t="s">
        <v>247</v>
      </c>
      <c r="B6" s="61"/>
      <c r="C6" s="61"/>
      <c r="D6" s="61"/>
      <c r="E6" s="11">
        <v>1</v>
      </c>
      <c r="F6" s="14" t="s">
        <v>11</v>
      </c>
      <c r="G6" s="59" t="s">
        <v>5</v>
      </c>
      <c r="H6" s="59" t="s">
        <v>9</v>
      </c>
      <c r="I6" s="59" t="s">
        <v>6</v>
      </c>
    </row>
    <row r="7" spans="1:9" ht="20.100000000000001" customHeight="1" x14ac:dyDescent="0.4">
      <c r="A7" t="s">
        <v>44</v>
      </c>
      <c r="B7" s="61"/>
      <c r="C7" s="61"/>
      <c r="D7" s="61"/>
      <c r="E7" s="6">
        <v>1</v>
      </c>
      <c r="F7" s="14" t="s">
        <v>11</v>
      </c>
      <c r="G7" s="59" t="s">
        <v>5</v>
      </c>
      <c r="H7" s="59" t="s">
        <v>9</v>
      </c>
      <c r="I7" s="59" t="s">
        <v>6</v>
      </c>
    </row>
    <row r="8" spans="1:9" ht="20.100000000000001" customHeight="1" x14ac:dyDescent="0.4">
      <c r="A8" t="s">
        <v>45</v>
      </c>
      <c r="B8" s="61"/>
      <c r="C8" s="61"/>
      <c r="D8" s="61"/>
      <c r="E8" s="6">
        <v>1</v>
      </c>
      <c r="F8" s="14" t="s">
        <v>11</v>
      </c>
      <c r="G8" s="59" t="s">
        <v>5</v>
      </c>
      <c r="H8" s="59" t="s">
        <v>9</v>
      </c>
      <c r="I8" s="59" t="s">
        <v>6</v>
      </c>
    </row>
    <row r="9" spans="1:9" ht="20.100000000000001" customHeight="1" x14ac:dyDescent="0.4">
      <c r="A9" t="s">
        <v>248</v>
      </c>
      <c r="B9" s="61"/>
      <c r="C9" s="61"/>
      <c r="D9" s="61"/>
      <c r="E9" s="6">
        <v>1</v>
      </c>
      <c r="F9" s="14" t="s">
        <v>11</v>
      </c>
      <c r="G9" s="59" t="s">
        <v>5</v>
      </c>
      <c r="H9" s="59" t="s">
        <v>9</v>
      </c>
      <c r="I9" s="59" t="s">
        <v>6</v>
      </c>
    </row>
    <row r="10" spans="1:9" ht="20.100000000000001" customHeight="1" x14ac:dyDescent="0.4">
      <c r="A10" t="s">
        <v>249</v>
      </c>
      <c r="B10" s="61"/>
      <c r="C10" s="61"/>
      <c r="D10" s="61"/>
      <c r="E10" s="6">
        <v>1</v>
      </c>
      <c r="F10" s="14" t="s">
        <v>11</v>
      </c>
      <c r="G10" s="59" t="s">
        <v>5</v>
      </c>
      <c r="H10" s="59" t="s">
        <v>9</v>
      </c>
      <c r="I10" s="59" t="s">
        <v>6</v>
      </c>
    </row>
    <row r="11" spans="1:9" ht="20.100000000000001" customHeight="1" x14ac:dyDescent="0.4">
      <c r="A11" t="s">
        <v>250</v>
      </c>
      <c r="B11" s="61"/>
      <c r="C11" s="61"/>
      <c r="D11" s="61"/>
      <c r="E11" s="6">
        <v>1</v>
      </c>
      <c r="F11" s="14" t="s">
        <v>11</v>
      </c>
      <c r="G11" s="59" t="s">
        <v>5</v>
      </c>
      <c r="H11" s="59" t="s">
        <v>9</v>
      </c>
      <c r="I11" s="59" t="s">
        <v>6</v>
      </c>
    </row>
    <row r="12" spans="1:9" ht="20.100000000000001" customHeight="1" x14ac:dyDescent="0.4">
      <c r="A12" t="s">
        <v>51</v>
      </c>
      <c r="B12" s="61"/>
      <c r="C12" s="61"/>
      <c r="D12" s="61"/>
      <c r="E12" s="6">
        <v>1</v>
      </c>
      <c r="F12" s="14" t="s">
        <v>11</v>
      </c>
      <c r="G12" s="59" t="s">
        <v>5</v>
      </c>
      <c r="H12" s="59" t="s">
        <v>9</v>
      </c>
      <c r="I12" s="59" t="s">
        <v>6</v>
      </c>
    </row>
    <row r="13" spans="1:9" ht="20.100000000000001" customHeight="1" x14ac:dyDescent="0.4">
      <c r="A13" t="s">
        <v>251</v>
      </c>
      <c r="B13" s="61"/>
      <c r="C13" s="61"/>
      <c r="D13" s="61"/>
      <c r="E13" s="6">
        <v>1</v>
      </c>
      <c r="F13" s="14" t="s">
        <v>11</v>
      </c>
      <c r="G13" s="59" t="s">
        <v>5</v>
      </c>
      <c r="H13" s="59" t="s">
        <v>9</v>
      </c>
      <c r="I13" s="59" t="s">
        <v>6</v>
      </c>
    </row>
    <row r="14" spans="1:9" ht="20.100000000000001" customHeight="1" x14ac:dyDescent="0.4">
      <c r="A14" t="s">
        <v>252</v>
      </c>
      <c r="B14" s="61"/>
      <c r="C14" s="61"/>
      <c r="D14" s="61"/>
      <c r="E14" s="6">
        <v>2</v>
      </c>
      <c r="F14" s="14" t="s">
        <v>11</v>
      </c>
      <c r="G14" s="59" t="s">
        <v>5</v>
      </c>
      <c r="H14" s="59" t="s">
        <v>9</v>
      </c>
      <c r="I14" s="59" t="s">
        <v>6</v>
      </c>
    </row>
    <row r="15" spans="1:9" ht="20.100000000000001" customHeight="1" x14ac:dyDescent="0.4">
      <c r="A15" t="s">
        <v>253</v>
      </c>
      <c r="B15" s="61"/>
      <c r="C15" s="61"/>
      <c r="D15" s="61"/>
      <c r="E15" s="6">
        <v>1</v>
      </c>
      <c r="F15" s="14" t="s">
        <v>11</v>
      </c>
      <c r="G15" s="59" t="s">
        <v>5</v>
      </c>
      <c r="H15" s="59" t="s">
        <v>9</v>
      </c>
      <c r="I15" s="59" t="s">
        <v>6</v>
      </c>
    </row>
    <row r="16" spans="1:9" ht="20.100000000000001" customHeight="1" x14ac:dyDescent="0.4">
      <c r="A16" t="s">
        <v>254</v>
      </c>
      <c r="B16" s="61"/>
      <c r="C16" s="61"/>
      <c r="D16" s="61"/>
      <c r="E16" s="6">
        <v>1</v>
      </c>
      <c r="F16" s="14" t="s">
        <v>11</v>
      </c>
      <c r="G16" s="59" t="s">
        <v>5</v>
      </c>
      <c r="H16" s="59" t="s">
        <v>9</v>
      </c>
      <c r="I16" s="59" t="s">
        <v>6</v>
      </c>
    </row>
    <row r="17" spans="1:9" ht="20.100000000000001" customHeight="1" x14ac:dyDescent="0.4">
      <c r="A17" t="s">
        <v>255</v>
      </c>
      <c r="B17" s="61"/>
      <c r="C17" s="61"/>
      <c r="D17" s="61"/>
      <c r="E17" s="6">
        <v>1</v>
      </c>
      <c r="F17" s="14" t="s">
        <v>11</v>
      </c>
      <c r="G17" s="59" t="s">
        <v>5</v>
      </c>
      <c r="H17" s="59" t="s">
        <v>9</v>
      </c>
      <c r="I17" s="59" t="s">
        <v>6</v>
      </c>
    </row>
    <row r="18" spans="1:9" ht="20.100000000000001" customHeight="1" x14ac:dyDescent="0.4">
      <c r="A18" t="s">
        <v>57</v>
      </c>
      <c r="B18" s="61"/>
      <c r="C18" s="61"/>
      <c r="D18" s="61"/>
      <c r="E18" s="6">
        <v>2</v>
      </c>
      <c r="F18" s="14" t="s">
        <v>11</v>
      </c>
      <c r="G18" s="59" t="s">
        <v>5</v>
      </c>
      <c r="H18" s="59" t="s">
        <v>9</v>
      </c>
      <c r="I18" s="59" t="s">
        <v>6</v>
      </c>
    </row>
    <row r="19" spans="1:9" ht="20.100000000000001" customHeight="1" x14ac:dyDescent="0.4">
      <c r="A19" t="s">
        <v>52</v>
      </c>
      <c r="B19" s="61"/>
      <c r="C19" s="61"/>
      <c r="D19" s="61"/>
      <c r="E19" s="6">
        <v>6</v>
      </c>
      <c r="F19" s="14" t="s">
        <v>11</v>
      </c>
      <c r="G19" s="59" t="s">
        <v>5</v>
      </c>
      <c r="H19" s="59" t="s">
        <v>9</v>
      </c>
      <c r="I19" s="59" t="s">
        <v>6</v>
      </c>
    </row>
    <row r="20" spans="1:9" ht="20.100000000000001" customHeight="1" x14ac:dyDescent="0.4">
      <c r="A20" t="s">
        <v>55</v>
      </c>
      <c r="B20" s="61"/>
      <c r="C20" s="61"/>
      <c r="D20" s="61"/>
      <c r="E20" s="6">
        <v>1</v>
      </c>
      <c r="F20" s="14" t="s">
        <v>11</v>
      </c>
      <c r="G20" s="59" t="s">
        <v>5</v>
      </c>
      <c r="H20" s="59" t="s">
        <v>9</v>
      </c>
      <c r="I20" s="59" t="s">
        <v>6</v>
      </c>
    </row>
    <row r="21" spans="1:9" ht="20.100000000000001" customHeight="1" x14ac:dyDescent="0.4">
      <c r="A21" t="s">
        <v>54</v>
      </c>
      <c r="B21" s="61"/>
      <c r="C21" s="61"/>
      <c r="D21" s="61"/>
      <c r="E21" s="6">
        <v>1</v>
      </c>
      <c r="F21" s="14" t="s">
        <v>11</v>
      </c>
      <c r="G21" s="59" t="s">
        <v>5</v>
      </c>
      <c r="H21" s="59" t="s">
        <v>9</v>
      </c>
      <c r="I21" s="59" t="s">
        <v>6</v>
      </c>
    </row>
    <row r="22" spans="1:9" ht="20.100000000000001" customHeight="1" x14ac:dyDescent="0.4">
      <c r="A22" t="s">
        <v>56</v>
      </c>
      <c r="B22" s="61"/>
      <c r="C22" s="61"/>
      <c r="D22" s="61"/>
      <c r="E22" s="6">
        <v>1</v>
      </c>
      <c r="F22" s="14" t="s">
        <v>11</v>
      </c>
      <c r="G22" s="59" t="s">
        <v>5</v>
      </c>
      <c r="H22" s="59" t="s">
        <v>9</v>
      </c>
      <c r="I22" s="59" t="s">
        <v>6</v>
      </c>
    </row>
    <row r="23" spans="1:9" ht="20.100000000000001" customHeight="1" x14ac:dyDescent="0.4">
      <c r="A23" t="s">
        <v>60</v>
      </c>
      <c r="B23" s="61"/>
      <c r="C23" s="61"/>
      <c r="D23" s="61"/>
      <c r="E23" s="6">
        <v>2</v>
      </c>
      <c r="F23" s="14" t="s">
        <v>11</v>
      </c>
      <c r="G23" s="59" t="s">
        <v>5</v>
      </c>
      <c r="H23" s="59" t="s">
        <v>9</v>
      </c>
      <c r="I23" s="59" t="s">
        <v>6</v>
      </c>
    </row>
    <row r="24" spans="1:9" ht="20.100000000000001" customHeight="1" x14ac:dyDescent="0.4">
      <c r="A24" t="s">
        <v>262</v>
      </c>
      <c r="B24" s="61"/>
      <c r="C24" s="61"/>
      <c r="D24" s="61"/>
      <c r="E24" s="6">
        <v>1</v>
      </c>
      <c r="F24" s="14" t="s">
        <v>11</v>
      </c>
      <c r="G24" s="59" t="s">
        <v>5</v>
      </c>
      <c r="H24" s="59" t="s">
        <v>9</v>
      </c>
      <c r="I24" s="59" t="s">
        <v>6</v>
      </c>
    </row>
    <row r="25" spans="1:9" ht="15" customHeight="1" x14ac:dyDescent="0.25">
      <c r="B25" s="4"/>
      <c r="C25" s="4"/>
      <c r="E25" s="4"/>
      <c r="F25" s="4"/>
      <c r="G25" s="4"/>
      <c r="H25" s="4"/>
    </row>
    <row r="26" spans="1:9" ht="20.100000000000001" customHeight="1" thickBot="1" x14ac:dyDescent="0.45">
      <c r="A26" s="67" t="s">
        <v>3</v>
      </c>
      <c r="B26" s="67"/>
      <c r="C26" s="67"/>
      <c r="D26" s="68"/>
      <c r="E26" s="12" t="s">
        <v>10</v>
      </c>
      <c r="F26" s="69" t="s">
        <v>7</v>
      </c>
      <c r="G26" s="70"/>
      <c r="H26" s="70"/>
      <c r="I26" s="3"/>
    </row>
    <row r="27" spans="1:9" ht="20.100000000000001" customHeight="1" thickTop="1" x14ac:dyDescent="0.4">
      <c r="A27" t="s">
        <v>256</v>
      </c>
      <c r="B27" s="61"/>
      <c r="C27" s="61"/>
      <c r="D27" s="61"/>
      <c r="E27" s="6">
        <v>2</v>
      </c>
      <c r="F27" s="14" t="s">
        <v>11</v>
      </c>
      <c r="G27" s="59" t="s">
        <v>5</v>
      </c>
      <c r="H27" s="59" t="s">
        <v>9</v>
      </c>
      <c r="I27" s="59" t="s">
        <v>6</v>
      </c>
    </row>
    <row r="28" spans="1:9" ht="20.100000000000001" customHeight="1" x14ac:dyDescent="0.4">
      <c r="A28" t="s">
        <v>257</v>
      </c>
      <c r="B28" s="61"/>
      <c r="C28" s="61"/>
      <c r="D28" s="61"/>
      <c r="E28" s="6">
        <v>2</v>
      </c>
      <c r="F28" s="14" t="s">
        <v>11</v>
      </c>
      <c r="G28" s="59" t="s">
        <v>5</v>
      </c>
      <c r="H28" s="59" t="s">
        <v>9</v>
      </c>
      <c r="I28" s="59" t="s">
        <v>6</v>
      </c>
    </row>
    <row r="29" spans="1:9" ht="20.100000000000001" customHeight="1" x14ac:dyDescent="0.4">
      <c r="A29" t="s">
        <v>63</v>
      </c>
      <c r="B29" s="61"/>
      <c r="C29" s="61"/>
      <c r="D29" s="61"/>
      <c r="E29" s="6">
        <v>2</v>
      </c>
      <c r="F29" s="14" t="s">
        <v>11</v>
      </c>
      <c r="G29" s="59" t="s">
        <v>5</v>
      </c>
      <c r="H29" s="59" t="s">
        <v>9</v>
      </c>
      <c r="I29" s="59" t="s">
        <v>6</v>
      </c>
    </row>
    <row r="30" spans="1:9" ht="20.100000000000001" customHeight="1" x14ac:dyDescent="0.4">
      <c r="A30" t="s">
        <v>61</v>
      </c>
      <c r="B30" s="61"/>
      <c r="C30" s="61"/>
      <c r="D30" s="61"/>
      <c r="E30" s="6">
        <v>5</v>
      </c>
      <c r="F30" s="14" t="s">
        <v>11</v>
      </c>
      <c r="G30" s="59" t="s">
        <v>5</v>
      </c>
      <c r="H30" s="59" t="s">
        <v>9</v>
      </c>
      <c r="I30" s="59" t="s">
        <v>6</v>
      </c>
    </row>
    <row r="31" spans="1:9" ht="20.100000000000001" customHeight="1" x14ac:dyDescent="0.4">
      <c r="A31" t="s">
        <v>62</v>
      </c>
      <c r="B31" s="61"/>
      <c r="C31" s="61"/>
      <c r="D31" s="61"/>
      <c r="E31" s="6">
        <v>10</v>
      </c>
      <c r="F31" s="14" t="s">
        <v>11</v>
      </c>
      <c r="G31" s="59" t="s">
        <v>5</v>
      </c>
      <c r="H31" s="59" t="s">
        <v>9</v>
      </c>
      <c r="I31" s="59" t="s">
        <v>6</v>
      </c>
    </row>
    <row r="32" spans="1:9" ht="20.100000000000001" customHeight="1" x14ac:dyDescent="0.4">
      <c r="A32" t="s">
        <v>64</v>
      </c>
      <c r="B32" s="61"/>
      <c r="C32" s="61"/>
      <c r="D32" s="61"/>
      <c r="E32" s="6">
        <v>1</v>
      </c>
      <c r="F32" s="14" t="s">
        <v>11</v>
      </c>
      <c r="G32" s="59" t="s">
        <v>5</v>
      </c>
      <c r="H32" s="59" t="s">
        <v>9</v>
      </c>
      <c r="I32" s="59" t="s">
        <v>6</v>
      </c>
    </row>
    <row r="33" spans="1:9" ht="20.100000000000001" customHeight="1" x14ac:dyDescent="0.4">
      <c r="A33" t="s">
        <v>69</v>
      </c>
      <c r="B33" s="61"/>
      <c r="C33" s="61"/>
      <c r="D33" s="61"/>
      <c r="E33" s="6">
        <v>2</v>
      </c>
      <c r="F33" s="14" t="s">
        <v>11</v>
      </c>
      <c r="G33" s="59" t="s">
        <v>5</v>
      </c>
      <c r="H33" s="59" t="s">
        <v>9</v>
      </c>
      <c r="I33" s="59" t="s">
        <v>6</v>
      </c>
    </row>
    <row r="34" spans="1:9" ht="20.100000000000001" customHeight="1" x14ac:dyDescent="0.4">
      <c r="A34" t="s">
        <v>258</v>
      </c>
      <c r="B34" s="61"/>
      <c r="C34" s="61"/>
      <c r="D34" s="61"/>
      <c r="E34" s="6">
        <v>6</v>
      </c>
      <c r="F34" s="14" t="s">
        <v>11</v>
      </c>
      <c r="G34" s="59" t="s">
        <v>5</v>
      </c>
      <c r="H34" s="59" t="s">
        <v>9</v>
      </c>
      <c r="I34" s="59" t="s">
        <v>6</v>
      </c>
    </row>
    <row r="35" spans="1:9" ht="20.100000000000001" customHeight="1" x14ac:dyDescent="0.4">
      <c r="A35" t="s">
        <v>259</v>
      </c>
      <c r="B35" s="61"/>
      <c r="C35" s="61"/>
      <c r="D35" s="61"/>
      <c r="E35" s="6">
        <v>6</v>
      </c>
      <c r="F35" s="14" t="s">
        <v>11</v>
      </c>
      <c r="G35" s="59" t="s">
        <v>5</v>
      </c>
      <c r="H35" s="59" t="s">
        <v>9</v>
      </c>
      <c r="I35" s="59" t="s">
        <v>6</v>
      </c>
    </row>
    <row r="36" spans="1:9" ht="20.100000000000001" customHeight="1" x14ac:dyDescent="0.4">
      <c r="A36" s="32" t="s">
        <v>260</v>
      </c>
      <c r="B36" s="61"/>
      <c r="C36" s="61"/>
      <c r="D36" s="61"/>
      <c r="E36" s="6">
        <v>12</v>
      </c>
      <c r="F36" s="14" t="s">
        <v>11</v>
      </c>
      <c r="G36" s="59" t="s">
        <v>5</v>
      </c>
      <c r="H36" s="59" t="s">
        <v>9</v>
      </c>
      <c r="I36" s="59" t="s">
        <v>6</v>
      </c>
    </row>
    <row r="37" spans="1:9" x14ac:dyDescent="0.25">
      <c r="A37" s="4"/>
      <c r="B37" s="4"/>
    </row>
    <row r="38" spans="1:9" ht="26.25" x14ac:dyDescent="0.4">
      <c r="A38" s="4" t="s">
        <v>12</v>
      </c>
      <c r="B38" s="59" t="s">
        <v>13</v>
      </c>
      <c r="D38" s="59" t="s">
        <v>15</v>
      </c>
      <c r="F38" s="59" t="s">
        <v>14</v>
      </c>
      <c r="G38" s="59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 t="s">
        <v>71</v>
      </c>
      <c r="C1" s="64"/>
      <c r="D1" s="64"/>
      <c r="E1" s="64"/>
      <c r="F1" s="1"/>
      <c r="G1" s="7" t="s">
        <v>4</v>
      </c>
      <c r="H1">
        <f>SUM(E6:E39)</f>
        <v>78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65" t="s">
        <v>1</v>
      </c>
      <c r="B3" s="65"/>
      <c r="C3" s="66"/>
      <c r="D3" s="66"/>
      <c r="E3" s="20" t="s">
        <v>72</v>
      </c>
    </row>
    <row r="5" spans="1:9" s="3" customFormat="1" ht="49.5" customHeight="1" thickBot="1" x14ac:dyDescent="0.45">
      <c r="A5" s="67" t="s">
        <v>2</v>
      </c>
      <c r="B5" s="67"/>
      <c r="C5" s="67"/>
      <c r="D5" s="68"/>
      <c r="E5" s="24" t="s">
        <v>10</v>
      </c>
      <c r="F5" s="69" t="s">
        <v>7</v>
      </c>
      <c r="G5" s="70"/>
      <c r="H5" s="70"/>
    </row>
    <row r="6" spans="1:9" s="3" customFormat="1" ht="20.100000000000001" customHeight="1" thickTop="1" x14ac:dyDescent="0.4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.100000000000001" customHeight="1" x14ac:dyDescent="0.4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.100000000000001" customHeight="1" x14ac:dyDescent="0.4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.100000000000001" customHeight="1" x14ac:dyDescent="0.4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.100000000000001" customHeight="1" x14ac:dyDescent="0.4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.100000000000001" customHeight="1" x14ac:dyDescent="0.4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.100000000000001" customHeight="1" x14ac:dyDescent="0.4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.100000000000001" customHeight="1" x14ac:dyDescent="0.4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.100000000000001" customHeight="1" x14ac:dyDescent="0.4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.100000000000001" customHeight="1" x14ac:dyDescent="0.4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.100000000000001" customHeight="1" x14ac:dyDescent="0.4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.100000000000001" customHeight="1" x14ac:dyDescent="0.4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.100000000000001" customHeight="1" x14ac:dyDescent="0.4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.100000000000001" customHeight="1" x14ac:dyDescent="0.4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.100000000000001" customHeight="1" x14ac:dyDescent="0.4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.100000000000001" customHeight="1" x14ac:dyDescent="0.4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.100000000000001" customHeight="1" x14ac:dyDescent="0.4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20.100000000000001" customHeight="1" x14ac:dyDescent="0.4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.100000000000001" customHeight="1" x14ac:dyDescent="0.4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.100000000000001" customHeight="1" x14ac:dyDescent="0.4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.100000000000001" customHeight="1" x14ac:dyDescent="0.4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.100000000000001" customHeight="1" x14ac:dyDescent="0.4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.100000000000001" customHeight="1" x14ac:dyDescent="0.4">
      <c r="B28" s="5"/>
      <c r="C28" s="5"/>
      <c r="D28" s="5"/>
      <c r="E28" s="6"/>
      <c r="F28" s="14"/>
      <c r="G28" s="25"/>
      <c r="H28" s="25"/>
      <c r="I28" s="25"/>
    </row>
    <row r="29" spans="1:9" ht="20.100000000000001" customHeight="1" x14ac:dyDescent="0.4">
      <c r="B29" s="5"/>
      <c r="C29" s="5"/>
      <c r="D29" s="5"/>
      <c r="E29" s="6"/>
      <c r="F29" s="14"/>
      <c r="G29" s="25"/>
      <c r="H29" s="25"/>
      <c r="I29" s="25"/>
    </row>
    <row r="30" spans="1:9" ht="20.100000000000001" customHeight="1" x14ac:dyDescent="0.4">
      <c r="B30" s="5"/>
      <c r="C30" s="5"/>
      <c r="D30" s="5"/>
      <c r="E30" s="6"/>
      <c r="F30" s="14"/>
      <c r="G30" s="25"/>
      <c r="H30" s="25"/>
      <c r="I30" s="25"/>
    </row>
    <row r="31" spans="1:9" ht="20.100000000000001" customHeight="1" x14ac:dyDescent="0.4">
      <c r="B31" s="5"/>
      <c r="C31" s="5"/>
      <c r="D31" s="5"/>
      <c r="E31" s="6"/>
      <c r="F31" s="14"/>
      <c r="G31" s="25"/>
      <c r="H31" s="25"/>
      <c r="I31" s="25"/>
    </row>
    <row r="32" spans="1:9" ht="20.100000000000001" customHeight="1" x14ac:dyDescent="0.4">
      <c r="B32" s="5"/>
      <c r="C32" s="5"/>
      <c r="D32" s="5"/>
      <c r="E32" s="6"/>
      <c r="F32" s="14"/>
      <c r="G32" s="25"/>
      <c r="H32" s="25"/>
      <c r="I32" s="25"/>
    </row>
    <row r="33" spans="1:9" ht="20.100000000000001" customHeight="1" x14ac:dyDescent="0.4">
      <c r="B33" s="5"/>
      <c r="C33" s="5"/>
      <c r="D33" s="5"/>
      <c r="E33" s="6"/>
      <c r="F33" s="14"/>
      <c r="G33" s="25"/>
      <c r="H33" s="25"/>
      <c r="I33" s="25"/>
    </row>
    <row r="34" spans="1:9" ht="20.100000000000001" customHeight="1" x14ac:dyDescent="0.4">
      <c r="B34" s="5"/>
      <c r="C34" s="5"/>
      <c r="D34" s="5"/>
      <c r="E34" s="6"/>
      <c r="F34" s="14"/>
      <c r="G34" s="25"/>
      <c r="H34" s="25"/>
      <c r="I34" s="25"/>
    </row>
    <row r="35" spans="1:9" ht="20.100000000000001" customHeight="1" x14ac:dyDescent="0.4">
      <c r="B35" s="5"/>
      <c r="C35" s="5"/>
      <c r="D35" s="5"/>
      <c r="E35" s="6"/>
      <c r="F35" s="14"/>
      <c r="G35" s="25"/>
      <c r="H35" s="25"/>
      <c r="I35" s="25"/>
    </row>
    <row r="36" spans="1:9" ht="20.100000000000001" customHeight="1" x14ac:dyDescent="0.4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20.100000000000001" customHeight="1" x14ac:dyDescent="0.4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20.100000000000001" customHeight="1" x14ac:dyDescent="0.4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20.100000000000001" customHeight="1" x14ac:dyDescent="0.4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20.100000000000001" customHeight="1" x14ac:dyDescent="0.25">
      <c r="A40" s="4"/>
      <c r="B40" s="4"/>
      <c r="C40" s="4"/>
      <c r="E40" s="4"/>
      <c r="F40" s="4"/>
      <c r="G40" s="4"/>
      <c r="H40" s="4"/>
    </row>
    <row r="41" spans="1:9" ht="20.100000000000001" customHeight="1" thickBot="1" x14ac:dyDescent="0.45">
      <c r="A41" s="67" t="s">
        <v>3</v>
      </c>
      <c r="B41" s="68"/>
      <c r="C41" s="67"/>
      <c r="D41" s="68"/>
      <c r="E41" s="12" t="s">
        <v>10</v>
      </c>
      <c r="F41" s="69" t="s">
        <v>7</v>
      </c>
      <c r="G41" s="70"/>
      <c r="H41" s="70"/>
      <c r="I41" s="3"/>
    </row>
    <row r="42" spans="1:9" ht="20.100000000000001" customHeight="1" thickTop="1" x14ac:dyDescent="0.4">
      <c r="A42" t="s">
        <v>95</v>
      </c>
      <c r="B42" s="5"/>
      <c r="C42" s="5"/>
      <c r="D42" s="5"/>
      <c r="E42" s="11">
        <v>18</v>
      </c>
      <c r="F42" s="15" t="s">
        <v>11</v>
      </c>
      <c r="G42" s="72" t="s">
        <v>5</v>
      </c>
      <c r="H42" s="72"/>
      <c r="I42" s="26" t="s">
        <v>6</v>
      </c>
    </row>
    <row r="43" spans="1:9" ht="20.100000000000001" customHeight="1" x14ac:dyDescent="0.4">
      <c r="A43" s="32" t="s">
        <v>96</v>
      </c>
      <c r="B43" s="5"/>
      <c r="C43" s="5"/>
      <c r="D43" s="5"/>
      <c r="E43" s="11">
        <v>18</v>
      </c>
      <c r="F43" s="14" t="s">
        <v>11</v>
      </c>
      <c r="G43" s="71" t="s">
        <v>5</v>
      </c>
      <c r="H43" s="71"/>
      <c r="I43" s="25" t="s">
        <v>6</v>
      </c>
    </row>
    <row r="44" spans="1:9" ht="20.100000000000001" customHeight="1" x14ac:dyDescent="0.4">
      <c r="A44" s="10"/>
      <c r="B44" s="10"/>
      <c r="C44" s="10"/>
      <c r="D44" s="19"/>
      <c r="E44" s="10"/>
      <c r="F44" s="14" t="s">
        <v>11</v>
      </c>
      <c r="G44" s="71" t="s">
        <v>5</v>
      </c>
      <c r="H44" s="71"/>
      <c r="I44" s="25" t="s">
        <v>6</v>
      </c>
    </row>
    <row r="45" spans="1:9" ht="20.100000000000001" customHeight="1" x14ac:dyDescent="0.4">
      <c r="A45" s="10"/>
      <c r="B45" s="10"/>
      <c r="C45" s="10"/>
      <c r="D45" s="19"/>
      <c r="E45" s="10"/>
      <c r="F45" s="14" t="s">
        <v>11</v>
      </c>
      <c r="G45" s="71" t="s">
        <v>5</v>
      </c>
      <c r="H45" s="71"/>
      <c r="I45" s="25" t="s">
        <v>6</v>
      </c>
    </row>
    <row r="46" spans="1:9" ht="20.100000000000001" customHeight="1" x14ac:dyDescent="0.4">
      <c r="A46" s="10"/>
      <c r="B46" s="10"/>
      <c r="C46" s="10"/>
      <c r="D46" s="19"/>
      <c r="E46" s="10"/>
      <c r="F46" s="14" t="s">
        <v>11</v>
      </c>
      <c r="G46" s="71" t="s">
        <v>5</v>
      </c>
      <c r="H46" s="71"/>
      <c r="I46" s="25" t="s">
        <v>6</v>
      </c>
    </row>
    <row r="47" spans="1:9" ht="20.100000000000001" customHeight="1" x14ac:dyDescent="0.4">
      <c r="A47" s="10"/>
      <c r="B47" s="10"/>
      <c r="C47" s="10"/>
      <c r="D47" s="19"/>
      <c r="E47" s="10"/>
      <c r="F47" s="14" t="s">
        <v>11</v>
      </c>
      <c r="G47" s="71" t="s">
        <v>5</v>
      </c>
      <c r="H47" s="71"/>
      <c r="I47" s="25" t="s">
        <v>6</v>
      </c>
    </row>
    <row r="48" spans="1:9" x14ac:dyDescent="0.25">
      <c r="A48" s="4"/>
      <c r="B48" s="4"/>
    </row>
    <row r="49" spans="1:7" ht="26.25" x14ac:dyDescent="0.4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3" customWidth="1"/>
    <col min="5" max="5" width="5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 t="s">
        <v>97</v>
      </c>
      <c r="C1" s="64"/>
      <c r="D1" s="64"/>
      <c r="E1" s="64"/>
      <c r="F1" s="1"/>
      <c r="G1" s="7" t="s">
        <v>4</v>
      </c>
      <c r="H1">
        <f>SUM(E6:E25)</f>
        <v>32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65" t="s">
        <v>1</v>
      </c>
      <c r="B3" s="65"/>
      <c r="C3" s="66"/>
      <c r="D3" s="66"/>
      <c r="E3" s="20" t="s">
        <v>98</v>
      </c>
    </row>
    <row r="5" spans="1:9" s="3" customFormat="1" ht="49.5" customHeight="1" thickBot="1" x14ac:dyDescent="0.45">
      <c r="A5" s="67" t="s">
        <v>2</v>
      </c>
      <c r="B5" s="67"/>
      <c r="C5" s="67"/>
      <c r="D5" s="68"/>
      <c r="E5" s="24" t="s">
        <v>10</v>
      </c>
      <c r="F5" s="69" t="s">
        <v>7</v>
      </c>
      <c r="G5" s="70"/>
      <c r="H5" s="70"/>
    </row>
    <row r="6" spans="1:9" s="3" customFormat="1" ht="19.7" customHeight="1" thickTop="1" x14ac:dyDescent="0.4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" customHeight="1" x14ac:dyDescent="0.4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" customHeight="1" x14ac:dyDescent="0.4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" customHeight="1" x14ac:dyDescent="0.4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" customHeight="1" x14ac:dyDescent="0.4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" customHeight="1" x14ac:dyDescent="0.4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" customHeight="1" x14ac:dyDescent="0.4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" customHeight="1" x14ac:dyDescent="0.4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" customHeight="1" x14ac:dyDescent="0.4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" customHeight="1" x14ac:dyDescent="0.4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" customHeight="1" x14ac:dyDescent="0.4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" customHeight="1" x14ac:dyDescent="0.4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" customHeight="1" x14ac:dyDescent="0.4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" customHeight="1" x14ac:dyDescent="0.4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" customHeight="1" x14ac:dyDescent="0.4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" customHeight="1" x14ac:dyDescent="0.4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67" t="s">
        <v>3</v>
      </c>
      <c r="B27" s="68"/>
      <c r="C27" s="67"/>
      <c r="D27" s="68"/>
      <c r="E27" s="12" t="s">
        <v>10</v>
      </c>
      <c r="F27" s="69" t="s">
        <v>7</v>
      </c>
      <c r="G27" s="70"/>
      <c r="H27" s="70"/>
      <c r="I27" s="3"/>
    </row>
    <row r="28" spans="1:9" ht="19.7" customHeight="1" thickTop="1" x14ac:dyDescent="0.4">
      <c r="A28" s="21" t="s">
        <v>36</v>
      </c>
      <c r="B28" s="17"/>
      <c r="C28" s="17"/>
      <c r="D28" s="18"/>
      <c r="E28" s="23">
        <v>4</v>
      </c>
      <c r="F28" s="15" t="s">
        <v>11</v>
      </c>
      <c r="G28" s="72" t="s">
        <v>5</v>
      </c>
      <c r="H28" s="72"/>
      <c r="I28" s="26" t="s">
        <v>6</v>
      </c>
    </row>
    <row r="29" spans="1:9" ht="19.7" customHeight="1" x14ac:dyDescent="0.4">
      <c r="A29" s="23" t="s">
        <v>37</v>
      </c>
      <c r="B29" s="10"/>
      <c r="C29" s="10"/>
      <c r="D29" s="19"/>
      <c r="E29" s="23">
        <v>8</v>
      </c>
      <c r="F29" s="14" t="s">
        <v>11</v>
      </c>
      <c r="G29" s="71" t="s">
        <v>5</v>
      </c>
      <c r="H29" s="71"/>
      <c r="I29" s="25" t="s">
        <v>6</v>
      </c>
    </row>
    <row r="30" spans="1:9" ht="19.7" customHeight="1" x14ac:dyDescent="0.4">
      <c r="A30" s="23" t="s">
        <v>114</v>
      </c>
      <c r="B30" s="10"/>
      <c r="C30" s="10"/>
      <c r="D30" s="19"/>
      <c r="E30" s="23">
        <v>4</v>
      </c>
      <c r="F30" s="14" t="s">
        <v>11</v>
      </c>
      <c r="G30" s="71" t="s">
        <v>5</v>
      </c>
      <c r="H30" s="71"/>
      <c r="I30" s="25" t="s">
        <v>6</v>
      </c>
    </row>
    <row r="31" spans="1:9" ht="19.7" customHeight="1" x14ac:dyDescent="0.4">
      <c r="A31" s="23" t="s">
        <v>115</v>
      </c>
      <c r="B31" s="10"/>
      <c r="C31" s="10"/>
      <c r="D31" s="19"/>
      <c r="E31" s="23">
        <v>8</v>
      </c>
      <c r="F31" s="14" t="s">
        <v>11</v>
      </c>
      <c r="G31" s="71" t="s">
        <v>5</v>
      </c>
      <c r="H31" s="71"/>
      <c r="I31" s="25" t="s">
        <v>6</v>
      </c>
    </row>
    <row r="32" spans="1:9" ht="19.7" customHeight="1" x14ac:dyDescent="0.4">
      <c r="A32" s="23" t="s">
        <v>39</v>
      </c>
      <c r="B32" s="10"/>
      <c r="C32" s="10"/>
      <c r="D32" s="19"/>
      <c r="E32" s="23">
        <v>8</v>
      </c>
      <c r="F32" s="14" t="s">
        <v>11</v>
      </c>
      <c r="G32" s="71" t="s">
        <v>5</v>
      </c>
      <c r="H32" s="71"/>
      <c r="I32" s="25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71" t="s">
        <v>5</v>
      </c>
      <c r="H33" s="71"/>
      <c r="I33" s="25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>
    <tabColor rgb="FFFF0000"/>
  </sheetPr>
  <dimension ref="A1:I35"/>
  <sheetViews>
    <sheetView showGridLines="0" view="pageLayout" topLeftCell="A28" zoomScale="130" zoomScaleNormal="100" zoomScalePageLayoutView="130" workbookViewId="0">
      <selection activeCell="A5" sqref="A5:D5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1406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 t="s">
        <v>116</v>
      </c>
      <c r="C1" s="64"/>
      <c r="D1" s="64"/>
      <c r="E1" s="64"/>
      <c r="F1" s="1"/>
      <c r="G1" s="7" t="s">
        <v>4</v>
      </c>
      <c r="H1">
        <f>SUM(E6:E25)</f>
        <v>17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65" t="s">
        <v>1</v>
      </c>
      <c r="B3" s="65"/>
      <c r="C3" s="66"/>
      <c r="D3" s="66"/>
      <c r="E3" s="20" t="s">
        <v>98</v>
      </c>
    </row>
    <row r="5" spans="1:9" s="3" customFormat="1" ht="49.5" customHeight="1" thickBot="1" x14ac:dyDescent="0.45">
      <c r="A5" s="67" t="s">
        <v>2</v>
      </c>
      <c r="B5" s="67"/>
      <c r="C5" s="67"/>
      <c r="D5" s="68"/>
      <c r="E5" s="28" t="s">
        <v>10</v>
      </c>
      <c r="F5" s="69" t="s">
        <v>7</v>
      </c>
      <c r="G5" s="70"/>
      <c r="H5" s="70"/>
    </row>
    <row r="6" spans="1:9" s="3" customFormat="1" ht="19.7" customHeight="1" thickTop="1" x14ac:dyDescent="0.4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" customHeight="1" x14ac:dyDescent="0.4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" customHeight="1" x14ac:dyDescent="0.4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" customHeight="1" x14ac:dyDescent="0.4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" customHeight="1" x14ac:dyDescent="0.4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" customHeight="1" x14ac:dyDescent="0.4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" customHeight="1" x14ac:dyDescent="0.4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" customHeight="1" x14ac:dyDescent="0.4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" customHeight="1" x14ac:dyDescent="0.4">
      <c r="A14" s="5" t="s">
        <v>193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" customHeight="1" x14ac:dyDescent="0.4">
      <c r="A15" s="5" t="s">
        <v>194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" customHeight="1" x14ac:dyDescent="0.4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" customHeight="1" x14ac:dyDescent="0.4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" customHeight="1" x14ac:dyDescent="0.4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" customHeight="1" x14ac:dyDescent="0.4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" customHeight="1" x14ac:dyDescent="0.4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" customHeight="1" x14ac:dyDescent="0.4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" customHeight="1" x14ac:dyDescent="0.4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" customHeight="1" x14ac:dyDescent="0.4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" customHeight="1" x14ac:dyDescent="0.4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" customHeight="1" x14ac:dyDescent="0.4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" customHeight="1" x14ac:dyDescent="0.25">
      <c r="A26" s="4"/>
      <c r="B26" s="4"/>
      <c r="C26" s="4"/>
      <c r="E26" s="4"/>
      <c r="F26" s="4"/>
      <c r="G26" s="4"/>
      <c r="H26" s="4"/>
    </row>
    <row r="27" spans="1:9" ht="19.7" customHeight="1" thickBot="1" x14ac:dyDescent="0.45">
      <c r="A27" s="67" t="s">
        <v>3</v>
      </c>
      <c r="B27" s="68"/>
      <c r="C27" s="67"/>
      <c r="D27" s="68"/>
      <c r="E27" s="12" t="s">
        <v>10</v>
      </c>
      <c r="F27" s="69" t="s">
        <v>7</v>
      </c>
      <c r="G27" s="70"/>
      <c r="H27" s="70"/>
      <c r="I27" s="3"/>
    </row>
    <row r="28" spans="1:9" ht="19.7" customHeight="1" thickTop="1" x14ac:dyDescent="0.4">
      <c r="A28" s="22" t="s">
        <v>20</v>
      </c>
      <c r="B28" s="17"/>
      <c r="C28" s="17"/>
      <c r="D28" s="18"/>
      <c r="E28" s="10">
        <v>8</v>
      </c>
      <c r="F28" s="15" t="s">
        <v>11</v>
      </c>
      <c r="G28" s="72" t="s">
        <v>5</v>
      </c>
      <c r="H28" s="72"/>
      <c r="I28" s="29" t="s">
        <v>6</v>
      </c>
    </row>
    <row r="29" spans="1:9" ht="19.7" customHeight="1" x14ac:dyDescent="0.4">
      <c r="A29" s="23" t="s">
        <v>21</v>
      </c>
      <c r="B29" s="10"/>
      <c r="C29" s="10"/>
      <c r="D29" s="19"/>
      <c r="E29" s="10">
        <v>8</v>
      </c>
      <c r="F29" s="14" t="s">
        <v>11</v>
      </c>
      <c r="G29" s="71" t="s">
        <v>5</v>
      </c>
      <c r="H29" s="71"/>
      <c r="I29" s="27" t="s">
        <v>6</v>
      </c>
    </row>
    <row r="30" spans="1:9" ht="19.7" customHeight="1" x14ac:dyDescent="0.4">
      <c r="A30" s="10"/>
      <c r="B30" s="10"/>
      <c r="C30" s="10"/>
      <c r="D30" s="19"/>
      <c r="E30" s="10"/>
      <c r="F30" s="14" t="s">
        <v>11</v>
      </c>
      <c r="G30" s="71" t="s">
        <v>5</v>
      </c>
      <c r="H30" s="71"/>
      <c r="I30" s="27" t="s">
        <v>6</v>
      </c>
    </row>
    <row r="31" spans="1:9" ht="19.7" customHeight="1" x14ac:dyDescent="0.4">
      <c r="A31" s="10"/>
      <c r="B31" s="10"/>
      <c r="C31" s="10"/>
      <c r="D31" s="19"/>
      <c r="E31" s="10"/>
      <c r="F31" s="14" t="s">
        <v>11</v>
      </c>
      <c r="G31" s="71" t="s">
        <v>5</v>
      </c>
      <c r="H31" s="71"/>
      <c r="I31" s="27" t="s">
        <v>6</v>
      </c>
    </row>
    <row r="32" spans="1:9" ht="19.7" customHeight="1" x14ac:dyDescent="0.4">
      <c r="A32" s="10"/>
      <c r="B32" s="10"/>
      <c r="C32" s="10"/>
      <c r="D32" s="19"/>
      <c r="E32" s="10"/>
      <c r="F32" s="14" t="s">
        <v>11</v>
      </c>
      <c r="G32" s="71" t="s">
        <v>5</v>
      </c>
      <c r="H32" s="71"/>
      <c r="I32" s="27" t="s">
        <v>6</v>
      </c>
    </row>
    <row r="33" spans="1:9" ht="19.7" customHeight="1" x14ac:dyDescent="0.4">
      <c r="A33" s="10"/>
      <c r="B33" s="10"/>
      <c r="C33" s="10"/>
      <c r="D33" s="19"/>
      <c r="E33" s="10"/>
      <c r="F33" s="14" t="s">
        <v>11</v>
      </c>
      <c r="G33" s="71" t="s">
        <v>5</v>
      </c>
      <c r="H33" s="71"/>
      <c r="I33" s="27" t="s">
        <v>6</v>
      </c>
    </row>
    <row r="34" spans="1:9" x14ac:dyDescent="0.25">
      <c r="A34" s="4"/>
      <c r="B34" s="4"/>
    </row>
    <row r="35" spans="1:9" ht="26.25" x14ac:dyDescent="0.4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defaultColWidth="10.85546875" defaultRowHeight="15" x14ac:dyDescent="0.25"/>
  <cols>
    <col min="1" max="1" width="10.140625" customWidth="1"/>
    <col min="2" max="2" width="10.85546875" customWidth="1"/>
    <col min="3" max="3" width="9.140625" customWidth="1"/>
    <col min="4" max="4" width="10.140625" customWidth="1"/>
    <col min="5" max="5" width="9.42578125" customWidth="1"/>
    <col min="6" max="6" width="21.85546875" customWidth="1"/>
    <col min="7" max="7" width="8.140625" customWidth="1"/>
    <col min="8" max="8" width="9.140625" customWidth="1"/>
    <col min="9" max="9" width="9.42578125" customWidth="1"/>
  </cols>
  <sheetData>
    <row r="1" spans="1:9" ht="26.25" x14ac:dyDescent="0.4">
      <c r="A1" s="2" t="s">
        <v>125</v>
      </c>
      <c r="B1" s="88" t="s">
        <v>126</v>
      </c>
      <c r="C1" s="88"/>
      <c r="D1" s="88"/>
      <c r="E1" s="88"/>
      <c r="F1" s="1"/>
      <c r="G1" s="7" t="s">
        <v>4</v>
      </c>
      <c r="H1">
        <f>SUM(E6:E36)</f>
        <v>36</v>
      </c>
    </row>
    <row r="2" spans="1:9" ht="26.25" x14ac:dyDescent="0.4">
      <c r="G2" s="7" t="s">
        <v>8</v>
      </c>
      <c r="H2">
        <v>99</v>
      </c>
    </row>
    <row r="3" spans="1:9" ht="22.5" customHeight="1" x14ac:dyDescent="0.35">
      <c r="A3" s="65" t="s">
        <v>1</v>
      </c>
      <c r="B3" s="65"/>
      <c r="C3" s="66"/>
      <c r="D3" s="66"/>
      <c r="E3" t="s">
        <v>127</v>
      </c>
    </row>
    <row r="5" spans="1:9" s="3" customFormat="1" ht="49.5" customHeight="1" thickBot="1" x14ac:dyDescent="0.45">
      <c r="A5" s="67" t="s">
        <v>2</v>
      </c>
      <c r="B5" s="67"/>
      <c r="C5" s="67"/>
      <c r="D5" s="68"/>
      <c r="E5" s="28" t="s">
        <v>10</v>
      </c>
      <c r="F5" s="69" t="s">
        <v>7</v>
      </c>
      <c r="G5" s="70"/>
      <c r="H5" s="70"/>
    </row>
    <row r="6" spans="1:9" s="3" customFormat="1" ht="19.7" customHeight="1" thickTop="1" x14ac:dyDescent="0.4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" customHeight="1" x14ac:dyDescent="0.4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" customHeight="1" x14ac:dyDescent="0.4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" customHeight="1" x14ac:dyDescent="0.4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" customHeight="1" x14ac:dyDescent="0.4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" customHeight="1" x14ac:dyDescent="0.4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" customHeight="1" x14ac:dyDescent="0.4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" customHeight="1" x14ac:dyDescent="0.4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" customHeight="1" x14ac:dyDescent="0.4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" customHeight="1" x14ac:dyDescent="0.4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" customHeight="1" x14ac:dyDescent="0.4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" customHeight="1" x14ac:dyDescent="0.4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" customHeight="1" x14ac:dyDescent="0.4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" customHeight="1" x14ac:dyDescent="0.4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" customHeight="1" x14ac:dyDescent="0.4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" customHeight="1" x14ac:dyDescent="0.4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" customHeight="1" x14ac:dyDescent="0.4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" customHeight="1" x14ac:dyDescent="0.4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" customHeight="1" thickBot="1" x14ac:dyDescent="0.4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" customHeight="1" thickTop="1" x14ac:dyDescent="0.4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" customHeight="1" x14ac:dyDescent="0.4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" customHeight="1" x14ac:dyDescent="0.4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" customHeight="1" x14ac:dyDescent="0.4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" customHeight="1" x14ac:dyDescent="0.4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" customHeight="1" x14ac:dyDescent="0.25">
      <c r="A30" s="4"/>
      <c r="B30" s="4"/>
      <c r="C30" s="4"/>
      <c r="E30" s="4"/>
      <c r="F30" s="4"/>
      <c r="G30" s="4"/>
      <c r="H30" s="4"/>
    </row>
    <row r="31" spans="1:9" ht="19.7" customHeight="1" thickBot="1" x14ac:dyDescent="0.45">
      <c r="A31" s="67" t="s">
        <v>3</v>
      </c>
      <c r="B31" s="68"/>
      <c r="C31" s="67"/>
      <c r="D31" s="68"/>
      <c r="E31" s="12" t="s">
        <v>10</v>
      </c>
      <c r="F31" s="69" t="s">
        <v>7</v>
      </c>
      <c r="G31" s="70"/>
      <c r="H31" s="70"/>
      <c r="I31" s="3"/>
    </row>
    <row r="32" spans="1:9" ht="19.7" customHeight="1" thickTop="1" x14ac:dyDescent="0.4">
      <c r="A32" s="33" t="s">
        <v>152</v>
      </c>
      <c r="B32" s="17"/>
      <c r="C32" s="17"/>
      <c r="D32" s="18"/>
      <c r="E32" s="10">
        <v>4</v>
      </c>
      <c r="F32" s="15" t="s">
        <v>11</v>
      </c>
      <c r="G32" s="72" t="s">
        <v>5</v>
      </c>
      <c r="H32" s="72"/>
      <c r="I32" s="29" t="s">
        <v>6</v>
      </c>
    </row>
    <row r="33" spans="1:9" ht="19.7" customHeight="1" x14ac:dyDescent="0.4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71" t="s">
        <v>5</v>
      </c>
      <c r="H33" s="71"/>
      <c r="I33" s="27" t="s">
        <v>6</v>
      </c>
    </row>
    <row r="34" spans="1:9" ht="19.7" customHeight="1" x14ac:dyDescent="0.4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71" t="s">
        <v>5</v>
      </c>
      <c r="H34" s="71"/>
      <c r="I34" s="27" t="s">
        <v>6</v>
      </c>
    </row>
    <row r="35" spans="1:9" ht="19.7" customHeight="1" x14ac:dyDescent="0.4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71" t="s">
        <v>5</v>
      </c>
      <c r="H35" s="71"/>
      <c r="I35" s="27" t="s">
        <v>6</v>
      </c>
    </row>
    <row r="36" spans="1:9" ht="19.7" customHeight="1" x14ac:dyDescent="0.4">
      <c r="A36" s="34" t="s">
        <v>159</v>
      </c>
      <c r="B36" s="10"/>
      <c r="C36" s="10"/>
      <c r="D36" s="19"/>
      <c r="E36" s="10">
        <v>2</v>
      </c>
      <c r="F36" s="14" t="s">
        <v>11</v>
      </c>
      <c r="G36" s="71" t="s">
        <v>5</v>
      </c>
      <c r="H36" s="71"/>
      <c r="I36" s="27" t="s">
        <v>6</v>
      </c>
    </row>
    <row r="37" spans="1:9" ht="19.7" customHeight="1" x14ac:dyDescent="0.4">
      <c r="A37" s="34"/>
      <c r="B37" s="10"/>
      <c r="C37" s="10"/>
      <c r="D37" s="19"/>
      <c r="E37" s="10"/>
      <c r="F37" s="14" t="s">
        <v>11</v>
      </c>
      <c r="G37" s="71" t="s">
        <v>5</v>
      </c>
      <c r="H37" s="71"/>
      <c r="I37" s="27" t="s">
        <v>6</v>
      </c>
    </row>
    <row r="38" spans="1:9" x14ac:dyDescent="0.25">
      <c r="A38" s="4"/>
      <c r="B38" s="4"/>
    </row>
    <row r="39" spans="1:9" ht="26.25" x14ac:dyDescent="0.4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>
    <tabColor rgb="FF0070C0"/>
  </sheetPr>
  <dimension ref="A1:I41"/>
  <sheetViews>
    <sheetView showGridLines="0" view="pageLayout" zoomScaleNormal="100" workbookViewId="0">
      <selection activeCell="B38" sqref="B38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 t="s">
        <v>168</v>
      </c>
      <c r="C1" s="64"/>
      <c r="D1" s="64"/>
      <c r="E1" s="64"/>
      <c r="F1" s="1"/>
      <c r="G1" s="7" t="s">
        <v>4</v>
      </c>
      <c r="H1">
        <f>SUM(E6:E23)</f>
        <v>20</v>
      </c>
    </row>
    <row r="2" spans="1:9" ht="26.25" x14ac:dyDescent="0.4">
      <c r="G2" s="7" t="s">
        <v>8</v>
      </c>
      <c r="H2">
        <v>108</v>
      </c>
    </row>
    <row r="3" spans="1:9" ht="22.5" customHeight="1" x14ac:dyDescent="0.35">
      <c r="A3" s="65" t="s">
        <v>1</v>
      </c>
      <c r="B3" s="65"/>
      <c r="C3" s="66"/>
      <c r="D3" s="66"/>
      <c r="E3" s="20" t="s">
        <v>169</v>
      </c>
    </row>
    <row r="5" spans="1:9" s="3" customFormat="1" ht="49.5" customHeight="1" thickBot="1" x14ac:dyDescent="0.45">
      <c r="A5" s="67" t="s">
        <v>2</v>
      </c>
      <c r="B5" s="67"/>
      <c r="C5" s="67"/>
      <c r="D5" s="68"/>
      <c r="E5" s="28" t="s">
        <v>10</v>
      </c>
      <c r="F5" s="69" t="s">
        <v>7</v>
      </c>
      <c r="G5" s="70"/>
      <c r="H5" s="70"/>
    </row>
    <row r="6" spans="1:9" s="3" customFormat="1" ht="20.100000000000001" customHeight="1" thickTop="1" x14ac:dyDescent="0.4">
      <c r="A6" s="52" t="s">
        <v>195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00000000000001" customHeight="1" x14ac:dyDescent="0.4">
      <c r="A7" s="52" t="s">
        <v>196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00000000000001" customHeight="1" x14ac:dyDescent="0.4">
      <c r="A8" s="52" t="s">
        <v>197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00000000000001" customHeight="1" x14ac:dyDescent="0.4">
      <c r="A9" s="52" t="s">
        <v>198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00000000000001" customHeight="1" x14ac:dyDescent="0.4">
      <c r="A10" s="52" t="s">
        <v>202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00000000000001" customHeight="1" x14ac:dyDescent="0.4">
      <c r="A11" s="5" t="s">
        <v>203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00000000000001" customHeight="1" x14ac:dyDescent="0.4">
      <c r="A12" s="5" t="s">
        <v>204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00000000000001" customHeight="1" x14ac:dyDescent="0.4">
      <c r="A13" s="5" t="s">
        <v>205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00000000000001" customHeight="1" x14ac:dyDescent="0.4">
      <c r="A14" s="5"/>
      <c r="B14" s="5"/>
      <c r="C14" s="5"/>
      <c r="D14" s="5"/>
      <c r="E14" s="6"/>
      <c r="F14" s="14"/>
      <c r="G14" s="27"/>
      <c r="H14" s="27"/>
      <c r="I14" s="27"/>
    </row>
    <row r="15" spans="1:9" ht="20.100000000000001" customHeight="1" x14ac:dyDescent="0.4">
      <c r="A15" s="5" t="s">
        <v>208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00000000000001" customHeight="1" x14ac:dyDescent="0.4">
      <c r="A16" s="5" t="s">
        <v>209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00000000000001" customHeight="1" x14ac:dyDescent="0.4">
      <c r="A17" s="5" t="s">
        <v>210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00000000000001" customHeight="1" x14ac:dyDescent="0.4">
      <c r="A18" s="5" t="s">
        <v>211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00000000000001" customHeight="1" x14ac:dyDescent="0.4">
      <c r="A19" s="5" t="s">
        <v>212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00000000000001" customHeight="1" x14ac:dyDescent="0.4">
      <c r="A20" s="5" t="s">
        <v>213</v>
      </c>
      <c r="B20" s="52"/>
      <c r="C20" s="52"/>
      <c r="D20" s="52"/>
      <c r="E20" s="6">
        <v>1</v>
      </c>
      <c r="F20" s="14" t="s">
        <v>11</v>
      </c>
      <c r="G20" s="51" t="s">
        <v>5</v>
      </c>
      <c r="H20" s="51" t="s">
        <v>9</v>
      </c>
      <c r="I20" s="51" t="s">
        <v>6</v>
      </c>
    </row>
    <row r="21" spans="1:9" ht="20.100000000000001" customHeight="1" x14ac:dyDescent="0.4">
      <c r="A21" s="52" t="s">
        <v>214</v>
      </c>
      <c r="B21" s="52"/>
      <c r="C21" s="52"/>
      <c r="D21" s="52"/>
      <c r="E21" s="6">
        <v>1</v>
      </c>
      <c r="F21" s="14" t="s">
        <v>11</v>
      </c>
      <c r="G21" s="51" t="s">
        <v>5</v>
      </c>
      <c r="H21" s="51" t="s">
        <v>9</v>
      </c>
      <c r="I21" s="51" t="s">
        <v>6</v>
      </c>
    </row>
    <row r="22" spans="1:9" ht="20.100000000000001" customHeight="1" x14ac:dyDescent="0.4">
      <c r="A22" s="52" t="s">
        <v>215</v>
      </c>
      <c r="B22" s="52"/>
      <c r="C22" s="52"/>
      <c r="D22" s="52"/>
      <c r="E22" s="6">
        <v>1</v>
      </c>
      <c r="F22" s="14" t="s">
        <v>11</v>
      </c>
      <c r="G22" s="51" t="s">
        <v>5</v>
      </c>
      <c r="H22" s="51" t="s">
        <v>9</v>
      </c>
      <c r="I22" s="51" t="s">
        <v>6</v>
      </c>
    </row>
    <row r="23" spans="1:9" ht="20.100000000000001" customHeight="1" x14ac:dyDescent="0.4">
      <c r="A23" s="53" t="s">
        <v>216</v>
      </c>
      <c r="B23" s="5"/>
      <c r="C23" s="5"/>
      <c r="D23" s="5"/>
      <c r="E23" s="6">
        <v>1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00000000000001" customHeight="1" x14ac:dyDescent="0.25">
      <c r="A24" s="4"/>
      <c r="B24" s="4"/>
      <c r="C24" s="4"/>
      <c r="E24" s="4"/>
      <c r="F24" s="4"/>
      <c r="G24" s="4"/>
      <c r="H24" s="4"/>
    </row>
    <row r="25" spans="1:9" ht="20.100000000000001" customHeight="1" thickBot="1" x14ac:dyDescent="0.45">
      <c r="A25" s="67" t="s">
        <v>3</v>
      </c>
      <c r="B25" s="68"/>
      <c r="C25" s="67"/>
      <c r="D25" s="68"/>
      <c r="E25" s="12" t="s">
        <v>10</v>
      </c>
      <c r="F25" s="69" t="s">
        <v>7</v>
      </c>
      <c r="G25" s="70"/>
      <c r="H25" s="70"/>
      <c r="I25" s="3"/>
    </row>
    <row r="26" spans="1:9" ht="20.100000000000001" customHeight="1" thickTop="1" x14ac:dyDescent="0.4">
      <c r="A26" s="52" t="s">
        <v>199</v>
      </c>
      <c r="B26" s="17"/>
      <c r="C26" s="17"/>
      <c r="D26" s="18"/>
      <c r="E26" s="6">
        <v>10</v>
      </c>
      <c r="F26" s="15" t="s">
        <v>11</v>
      </c>
      <c r="G26" s="72" t="s">
        <v>5</v>
      </c>
      <c r="H26" s="72"/>
      <c r="I26" s="29" t="s">
        <v>6</v>
      </c>
    </row>
    <row r="27" spans="1:9" ht="20.100000000000001" customHeight="1" x14ac:dyDescent="0.4">
      <c r="A27" s="52" t="s">
        <v>200</v>
      </c>
      <c r="B27" s="10"/>
      <c r="C27" s="10"/>
      <c r="D27" s="19"/>
      <c r="E27" s="6">
        <v>10</v>
      </c>
      <c r="F27" s="14" t="s">
        <v>11</v>
      </c>
      <c r="G27" s="71" t="s">
        <v>5</v>
      </c>
      <c r="H27" s="71"/>
      <c r="I27" s="27" t="s">
        <v>6</v>
      </c>
    </row>
    <row r="28" spans="1:9" ht="20.100000000000001" customHeight="1" x14ac:dyDescent="0.4">
      <c r="A28" s="52" t="s">
        <v>201</v>
      </c>
      <c r="B28" s="10"/>
      <c r="C28" s="10"/>
      <c r="D28" s="19"/>
      <c r="E28" s="6">
        <v>20</v>
      </c>
      <c r="F28" s="14" t="s">
        <v>11</v>
      </c>
      <c r="G28" s="71" t="s">
        <v>5</v>
      </c>
      <c r="H28" s="71"/>
      <c r="I28" s="27" t="s">
        <v>6</v>
      </c>
    </row>
    <row r="29" spans="1:9" ht="20.100000000000001" customHeight="1" x14ac:dyDescent="0.4">
      <c r="A29" s="52" t="s">
        <v>153</v>
      </c>
      <c r="B29" s="10"/>
      <c r="C29" s="10"/>
      <c r="D29" s="19"/>
      <c r="E29" s="6">
        <v>20</v>
      </c>
      <c r="F29" s="14" t="s">
        <v>11</v>
      </c>
      <c r="G29" s="71" t="s">
        <v>5</v>
      </c>
      <c r="H29" s="71"/>
      <c r="I29" s="27" t="s">
        <v>6</v>
      </c>
    </row>
    <row r="30" spans="1:9" ht="20.100000000000001" customHeight="1" x14ac:dyDescent="0.4">
      <c r="A30" s="52" t="s">
        <v>206</v>
      </c>
      <c r="B30" s="10"/>
      <c r="C30" s="10"/>
      <c r="D30" s="19"/>
      <c r="E30" s="6">
        <v>6</v>
      </c>
      <c r="F30" s="14" t="s">
        <v>11</v>
      </c>
      <c r="G30" s="71" t="s">
        <v>5</v>
      </c>
      <c r="H30" s="71"/>
      <c r="I30" s="27" t="s">
        <v>6</v>
      </c>
    </row>
    <row r="31" spans="1:9" ht="20.100000000000001" customHeight="1" x14ac:dyDescent="0.4">
      <c r="A31" s="52" t="s">
        <v>207</v>
      </c>
      <c r="B31" s="10"/>
      <c r="C31" s="10"/>
      <c r="D31" s="19"/>
      <c r="E31" s="6">
        <v>12</v>
      </c>
      <c r="F31" s="14" t="s">
        <v>11</v>
      </c>
      <c r="G31" s="71" t="s">
        <v>5</v>
      </c>
      <c r="H31" s="71"/>
      <c r="I31" s="51" t="s">
        <v>6</v>
      </c>
    </row>
    <row r="32" spans="1:9" ht="20.100000000000001" customHeight="1" x14ac:dyDescent="0.4">
      <c r="A32" s="52"/>
      <c r="B32" s="10"/>
      <c r="C32" s="10"/>
      <c r="D32" s="19"/>
      <c r="E32" s="6"/>
      <c r="F32" s="14"/>
      <c r="G32" s="51"/>
      <c r="H32" s="51"/>
      <c r="I32" s="51"/>
    </row>
    <row r="33" spans="1:9" ht="20.100000000000001" customHeight="1" x14ac:dyDescent="0.4">
      <c r="A33" s="52" t="s">
        <v>199</v>
      </c>
      <c r="B33" s="10"/>
      <c r="C33" s="10"/>
      <c r="D33" s="19"/>
      <c r="E33" s="6">
        <v>9</v>
      </c>
      <c r="F33" s="14" t="s">
        <v>11</v>
      </c>
      <c r="G33" s="71" t="s">
        <v>5</v>
      </c>
      <c r="H33" s="71"/>
      <c r="I33" s="51" t="s">
        <v>6</v>
      </c>
    </row>
    <row r="34" spans="1:9" ht="20.100000000000001" customHeight="1" x14ac:dyDescent="0.4">
      <c r="A34" s="52" t="s">
        <v>201</v>
      </c>
      <c r="B34" s="10"/>
      <c r="C34" s="10"/>
      <c r="D34" s="19"/>
      <c r="E34" s="6">
        <v>18</v>
      </c>
      <c r="F34" s="14" t="s">
        <v>11</v>
      </c>
      <c r="G34" s="71" t="s">
        <v>5</v>
      </c>
      <c r="H34" s="71"/>
      <c r="I34" s="51" t="s">
        <v>6</v>
      </c>
    </row>
    <row r="35" spans="1:9" ht="20.100000000000001" customHeight="1" x14ac:dyDescent="0.4">
      <c r="A35" s="54" t="s">
        <v>217</v>
      </c>
      <c r="B35" s="10"/>
      <c r="C35" s="10"/>
      <c r="D35" s="19"/>
      <c r="E35" s="6">
        <v>2</v>
      </c>
      <c r="F35" s="14" t="s">
        <v>11</v>
      </c>
      <c r="G35" s="71" t="s">
        <v>5</v>
      </c>
      <c r="H35" s="71"/>
      <c r="I35" s="51" t="s">
        <v>6</v>
      </c>
    </row>
    <row r="36" spans="1:9" ht="20.100000000000001" customHeight="1" x14ac:dyDescent="0.4">
      <c r="A36" s="52" t="s">
        <v>221</v>
      </c>
      <c r="B36" s="10"/>
      <c r="C36" s="10"/>
      <c r="D36" s="19"/>
      <c r="E36" s="6">
        <v>1</v>
      </c>
      <c r="F36" s="14" t="s">
        <v>11</v>
      </c>
      <c r="G36" s="71" t="s">
        <v>5</v>
      </c>
      <c r="H36" s="71"/>
      <c r="I36" s="51" t="s">
        <v>6</v>
      </c>
    </row>
    <row r="37" spans="1:9" ht="20.100000000000001" customHeight="1" x14ac:dyDescent="0.4">
      <c r="A37" s="21"/>
      <c r="B37" s="10"/>
      <c r="C37" s="10"/>
      <c r="D37" s="19"/>
      <c r="E37" s="10"/>
      <c r="F37" s="14" t="s">
        <v>11</v>
      </c>
      <c r="G37" s="71" t="s">
        <v>5</v>
      </c>
      <c r="H37" s="71"/>
      <c r="I37" s="51" t="s">
        <v>6</v>
      </c>
    </row>
    <row r="38" spans="1:9" ht="20.100000000000001" customHeight="1" x14ac:dyDescent="0.4">
      <c r="A38" s="21"/>
      <c r="B38" s="10"/>
      <c r="C38" s="10"/>
      <c r="D38" s="19"/>
      <c r="E38" s="10"/>
      <c r="F38" s="14" t="s">
        <v>11</v>
      </c>
      <c r="G38" s="71" t="s">
        <v>5</v>
      </c>
      <c r="H38" s="71"/>
      <c r="I38" s="51" t="s">
        <v>6</v>
      </c>
    </row>
    <row r="39" spans="1:9" ht="20.100000000000001" customHeight="1" x14ac:dyDescent="0.4">
      <c r="A39" s="21"/>
      <c r="B39" s="10"/>
      <c r="C39" s="10"/>
      <c r="D39" s="19"/>
      <c r="E39" s="10"/>
      <c r="F39" s="14" t="s">
        <v>11</v>
      </c>
      <c r="G39" s="71" t="s">
        <v>5</v>
      </c>
      <c r="H39" s="71"/>
      <c r="I39" s="27" t="s">
        <v>6</v>
      </c>
    </row>
    <row r="40" spans="1:9" ht="10.5" customHeight="1" x14ac:dyDescent="0.25">
      <c r="A40" s="4"/>
      <c r="B40" s="4"/>
    </row>
    <row r="41" spans="1:9" ht="26.25" x14ac:dyDescent="0.4">
      <c r="A41" s="4" t="s">
        <v>12</v>
      </c>
      <c r="B41" s="27" t="s">
        <v>13</v>
      </c>
      <c r="D41" s="27" t="s">
        <v>15</v>
      </c>
      <c r="F41" s="27" t="s">
        <v>14</v>
      </c>
      <c r="G41" s="27" t="s">
        <v>16</v>
      </c>
    </row>
  </sheetData>
  <mergeCells count="19">
    <mergeCell ref="G31:H31"/>
    <mergeCell ref="G33:H33"/>
    <mergeCell ref="G34:H34"/>
    <mergeCell ref="G26:H26"/>
    <mergeCell ref="G27:H27"/>
    <mergeCell ref="G28:H28"/>
    <mergeCell ref="G29:H29"/>
    <mergeCell ref="G30:H30"/>
    <mergeCell ref="B1:E1"/>
    <mergeCell ref="A3:D3"/>
    <mergeCell ref="A5:D5"/>
    <mergeCell ref="F5:H5"/>
    <mergeCell ref="A25:D25"/>
    <mergeCell ref="F25:H25"/>
    <mergeCell ref="G35:H35"/>
    <mergeCell ref="G36:H36"/>
    <mergeCell ref="G37:H37"/>
    <mergeCell ref="G38:H38"/>
    <mergeCell ref="G39:H39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>
    <tabColor rgb="FF0070C0"/>
  </sheetPr>
  <dimension ref="A1:I34"/>
  <sheetViews>
    <sheetView showGridLines="0" view="pageLayout" topLeftCell="A4" zoomScaleNormal="100" workbookViewId="0">
      <selection activeCell="A10" sqref="A10"/>
    </sheetView>
  </sheetViews>
  <sheetFormatPr defaultColWidth="11.42578125" defaultRowHeight="15" x14ac:dyDescent="0.25"/>
  <cols>
    <col min="1" max="1" width="10.140625" customWidth="1"/>
    <col min="2" max="2" width="11" customWidth="1"/>
    <col min="3" max="3" width="9" customWidth="1"/>
    <col min="4" max="4" width="10.140625" customWidth="1"/>
    <col min="5" max="5" width="9.140625" customWidth="1"/>
    <col min="6" max="6" width="22" customWidth="1"/>
    <col min="7" max="7" width="8" customWidth="1"/>
    <col min="8" max="8" width="9.140625" customWidth="1"/>
    <col min="9" max="9" width="9.42578125" customWidth="1"/>
  </cols>
  <sheetData>
    <row r="1" spans="1:9" ht="26.25" x14ac:dyDescent="0.4">
      <c r="A1" s="2" t="s">
        <v>0</v>
      </c>
      <c r="B1" s="64" t="s">
        <v>170</v>
      </c>
      <c r="C1" s="64"/>
      <c r="D1" s="64"/>
      <c r="E1" s="64"/>
      <c r="F1" s="1"/>
      <c r="G1" s="7" t="s">
        <v>4</v>
      </c>
      <c r="H1">
        <f>SUM(E6:E24)</f>
        <v>4</v>
      </c>
    </row>
    <row r="2" spans="1:9" ht="26.25" x14ac:dyDescent="0.4">
      <c r="G2" s="7" t="s">
        <v>8</v>
      </c>
      <c r="H2">
        <v>0</v>
      </c>
    </row>
    <row r="3" spans="1:9" ht="22.5" customHeight="1" x14ac:dyDescent="0.35">
      <c r="A3" s="65" t="s">
        <v>1</v>
      </c>
      <c r="B3" s="65"/>
      <c r="C3" s="66"/>
      <c r="D3" s="66"/>
      <c r="E3" s="20" t="s">
        <v>169</v>
      </c>
    </row>
    <row r="5" spans="1:9" s="3" customFormat="1" ht="49.5" customHeight="1" thickBot="1" x14ac:dyDescent="0.45">
      <c r="A5" s="67" t="s">
        <v>2</v>
      </c>
      <c r="B5" s="67"/>
      <c r="C5" s="67"/>
      <c r="D5" s="68"/>
      <c r="E5" s="28" t="s">
        <v>10</v>
      </c>
      <c r="F5" s="69" t="s">
        <v>7</v>
      </c>
      <c r="G5" s="70"/>
      <c r="H5" s="70"/>
    </row>
    <row r="6" spans="1:9" s="3" customFormat="1" ht="20.100000000000001" customHeight="1" thickTop="1" x14ac:dyDescent="0.4">
      <c r="A6" s="22" t="s">
        <v>218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.100000000000001" customHeight="1" x14ac:dyDescent="0.4">
      <c r="A7" s="21" t="s">
        <v>219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.100000000000001" customHeight="1" x14ac:dyDescent="0.4">
      <c r="A8" s="21" t="s">
        <v>220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.100000000000001" customHeight="1" x14ac:dyDescent="0.4">
      <c r="A9" s="21" t="s">
        <v>222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.100000000000001" customHeight="1" x14ac:dyDescent="0.4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.100000000000001" customHeight="1" x14ac:dyDescent="0.4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.100000000000001" customHeight="1" x14ac:dyDescent="0.4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.100000000000001" customHeight="1" x14ac:dyDescent="0.4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.100000000000001" customHeight="1" x14ac:dyDescent="0.4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.100000000000001" customHeight="1" x14ac:dyDescent="0.4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.100000000000001" customHeight="1" x14ac:dyDescent="0.4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.100000000000001" customHeight="1" x14ac:dyDescent="0.4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.100000000000001" customHeight="1" x14ac:dyDescent="0.4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.100000000000001" customHeight="1" x14ac:dyDescent="0.4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.100000000000001" customHeight="1" x14ac:dyDescent="0.4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.100000000000001" customHeight="1" x14ac:dyDescent="0.4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.100000000000001" customHeight="1" x14ac:dyDescent="0.4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.100000000000001" customHeight="1" x14ac:dyDescent="0.4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.100000000000001" customHeight="1" x14ac:dyDescent="0.4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.100000000000001" customHeight="1" x14ac:dyDescent="0.25">
      <c r="A25" s="4"/>
      <c r="B25" s="4"/>
      <c r="C25" s="4"/>
      <c r="E25" s="4"/>
      <c r="F25" s="4"/>
      <c r="G25" s="4"/>
      <c r="H25" s="4"/>
    </row>
    <row r="26" spans="1:9" ht="20.100000000000001" customHeight="1" thickBot="1" x14ac:dyDescent="0.45">
      <c r="A26" s="67" t="s">
        <v>3</v>
      </c>
      <c r="B26" s="68"/>
      <c r="C26" s="67"/>
      <c r="D26" s="68"/>
      <c r="E26" s="12" t="s">
        <v>10</v>
      </c>
      <c r="F26" s="69" t="s">
        <v>7</v>
      </c>
      <c r="G26" s="70"/>
      <c r="H26" s="70"/>
      <c r="I26" s="3"/>
    </row>
    <row r="27" spans="1:9" ht="20.100000000000001" customHeight="1" thickTop="1" x14ac:dyDescent="0.4">
      <c r="A27" s="22"/>
      <c r="B27" s="17"/>
      <c r="C27" s="17"/>
      <c r="D27" s="18"/>
      <c r="E27" s="10"/>
      <c r="F27" s="15" t="s">
        <v>11</v>
      </c>
      <c r="G27" s="72" t="s">
        <v>5</v>
      </c>
      <c r="H27" s="72"/>
      <c r="I27" s="29" t="s">
        <v>6</v>
      </c>
    </row>
    <row r="28" spans="1:9" ht="20.100000000000001" customHeight="1" x14ac:dyDescent="0.4">
      <c r="A28" s="23"/>
      <c r="B28" s="10"/>
      <c r="C28" s="10"/>
      <c r="D28" s="19"/>
      <c r="E28" s="10"/>
      <c r="F28" s="14" t="s">
        <v>11</v>
      </c>
      <c r="G28" s="71" t="s">
        <v>5</v>
      </c>
      <c r="H28" s="71"/>
      <c r="I28" s="27" t="s">
        <v>6</v>
      </c>
    </row>
    <row r="29" spans="1:9" ht="20.100000000000001" customHeight="1" x14ac:dyDescent="0.4">
      <c r="A29" s="10"/>
      <c r="B29" s="10"/>
      <c r="C29" s="10"/>
      <c r="D29" s="19"/>
      <c r="E29" s="10"/>
      <c r="F29" s="14" t="s">
        <v>11</v>
      </c>
      <c r="G29" s="71" t="s">
        <v>5</v>
      </c>
      <c r="H29" s="71"/>
      <c r="I29" s="27" t="s">
        <v>6</v>
      </c>
    </row>
    <row r="30" spans="1:9" ht="20.100000000000001" customHeight="1" x14ac:dyDescent="0.4">
      <c r="A30" s="10"/>
      <c r="B30" s="10"/>
      <c r="C30" s="10"/>
      <c r="D30" s="19"/>
      <c r="E30" s="10"/>
      <c r="F30" s="14" t="s">
        <v>11</v>
      </c>
      <c r="G30" s="71" t="s">
        <v>5</v>
      </c>
      <c r="H30" s="71"/>
      <c r="I30" s="27" t="s">
        <v>6</v>
      </c>
    </row>
    <row r="31" spans="1:9" ht="20.100000000000001" customHeight="1" x14ac:dyDescent="0.4">
      <c r="A31" s="10"/>
      <c r="B31" s="10"/>
      <c r="C31" s="10"/>
      <c r="D31" s="19"/>
      <c r="E31" s="10"/>
      <c r="F31" s="14" t="s">
        <v>11</v>
      </c>
      <c r="G31" s="71" t="s">
        <v>5</v>
      </c>
      <c r="H31" s="71"/>
      <c r="I31" s="27" t="s">
        <v>6</v>
      </c>
    </row>
    <row r="32" spans="1:9" ht="20.100000000000001" customHeight="1" x14ac:dyDescent="0.4">
      <c r="A32" s="10"/>
      <c r="B32" s="10"/>
      <c r="C32" s="10"/>
      <c r="D32" s="19"/>
      <c r="E32" s="10"/>
      <c r="F32" s="14" t="s">
        <v>11</v>
      </c>
      <c r="G32" s="71" t="s">
        <v>5</v>
      </c>
      <c r="H32" s="71"/>
      <c r="I32" s="27" t="s">
        <v>6</v>
      </c>
    </row>
    <row r="33" spans="1:7" ht="10.5" customHeight="1" x14ac:dyDescent="0.25">
      <c r="A33" s="4"/>
      <c r="B33" s="4"/>
    </row>
    <row r="34" spans="1:7" ht="26.25" x14ac:dyDescent="0.4">
      <c r="A34" s="4" t="s">
        <v>12</v>
      </c>
      <c r="B34" s="27" t="s">
        <v>13</v>
      </c>
      <c r="D34" s="27" t="s">
        <v>15</v>
      </c>
      <c r="F34" s="27" t="s">
        <v>14</v>
      </c>
      <c r="G34" s="27" t="s">
        <v>16</v>
      </c>
    </row>
  </sheetData>
  <mergeCells count="12">
    <mergeCell ref="G32:H32"/>
    <mergeCell ref="B1:E1"/>
    <mergeCell ref="A3:D3"/>
    <mergeCell ref="A5:D5"/>
    <mergeCell ref="F5:H5"/>
    <mergeCell ref="A26:D26"/>
    <mergeCell ref="F26:H26"/>
    <mergeCell ref="G27:H27"/>
    <mergeCell ref="G28:H28"/>
    <mergeCell ref="G29:H29"/>
    <mergeCell ref="G30:H30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15</vt:i4>
      </vt:variant>
    </vt:vector>
  </HeadingPairs>
  <TitlesOfParts>
    <vt:vector size="15" baseType="lpstr">
      <vt:lpstr>Statistique_Kit</vt:lpstr>
      <vt:lpstr>Kit_Montage_Template</vt:lpstr>
      <vt:lpstr>Kit_Montage_Template (2)</vt:lpstr>
      <vt:lpstr>Kit__Transm_Sec</vt:lpstr>
      <vt:lpstr>Kit_Pédalier</vt:lpstr>
      <vt:lpstr>Kit_Carrosserie</vt:lpstr>
      <vt:lpstr>Kit_Direction</vt:lpstr>
      <vt:lpstr>Kit_Roue équipée_AR</vt:lpstr>
      <vt:lpstr>Kit_Roue équipée_AV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Michele</cp:lastModifiedBy>
  <cp:lastPrinted>2019-01-07T15:37:01Z</cp:lastPrinted>
  <dcterms:created xsi:type="dcterms:W3CDTF">2018-03-13T12:23:21Z</dcterms:created>
  <dcterms:modified xsi:type="dcterms:W3CDTF">2019-02-10T13:16:28Z</dcterms:modified>
</cp:coreProperties>
</file>