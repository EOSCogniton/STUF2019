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7A2D7E96-6E34-419A-AE5F-296B3A7E7977}"/>
  <workbookPr codeName="ThisWorkbook"/>
  <mc:AlternateContent xmlns:mc="http://schemas.openxmlformats.org/markup-compatibility/2006">
    <mc:Choice Requires="x15">
      <x15ac:absPath xmlns:x15ac="http://schemas.microsoft.com/office/spreadsheetml/2010/11/ac" url="D:\EPSA\STUF2019\"/>
    </mc:Choice>
  </mc:AlternateContent>
  <xr:revisionPtr revIDLastSave="0" documentId="13_ncr:1_{8EB3AC73-7AAC-45E3-B40D-2F8B9243D9C2}" xr6:coauthVersionLast="40" xr6:coauthVersionMax="40" xr10:uidLastSave="{00000000-0000-0000-0000-000000000000}"/>
  <bookViews>
    <workbookView xWindow="-108" yWindow="-108" windowWidth="23256" windowHeight="12576" tabRatio="601" firstSheet="2" activeTab="2"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BOISARD!$A$15:$I$26</definedName>
    <definedName name="_xlnm._FilterDatabase" localSheetId="6" hidden="1">CENTRALE!$A$15:$I$16</definedName>
    <definedName name="_xlnm._FilterDatabase" localSheetId="3" hidden="1">'LA MACHE LASER'!$A$25:$J$103</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LASER'!$K$25:$K$103</definedName>
    <definedName name="Z_FFD1D3DF_AC67_4F1F_BAFB_92C0D7600335_.wvu.FilterData" localSheetId="2" hidden="1">BOISARD!$J$15:$J$42</definedName>
    <definedName name="Z_FFD1D3DF_AC67_4F1F_BAFB_92C0D7600335_.wvu.FilterData" localSheetId="6" hidden="1">CENTRALE!$J$15:$J$16</definedName>
    <definedName name="Z_FFD1D3DF_AC67_4F1F_BAFB_92C0D7600335_.wvu.FilterData" localSheetId="3" hidden="1">'LA MACHE LASER'!$J$25:$J$103</definedName>
  </definedNames>
  <calcPr calcId="181029"/>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2" i="2"/>
  <c r="H100" i="2"/>
  <c r="H99" i="2"/>
  <c r="H98" i="2"/>
  <c r="H97" i="2"/>
  <c r="H96" i="2"/>
  <c r="H95" i="2"/>
  <c r="H94"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<sst xmlns="http://schemas.openxmlformats.org/spreadsheetml/2006/main" count="1345" uniqueCount="396">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</sst>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46">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s>
  <fills count="32">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s>
  <borders count="21">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1">
    <xf numFmtId="0" fontId="0" fillId="0" borderId="0"/>
  </cellStyleXfs>
  <cellXfs count="324">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6" fillId="13" borderId="4" xfId="0" applyFont="1" applyFill="1" applyBorder="1" applyAlignment="1">
      <alignment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applyAlignment="1"/>
    <xf numFmtId="0" fontId="43" fillId="0" borderId="16" xfId="0" applyFont="1" applyBorder="1" applyAlignment="1"/>
    <xf numFmtId="14" fontId="43" fillId="0" borderId="16" xfId="0" applyNumberFormat="1" applyFont="1" applyBorder="1" applyAlignment="1"/>
    <xf numFmtId="0" fontId="44" fillId="0" borderId="16" xfId="0" applyFont="1" applyBorder="1" applyAlignment="1"/>
    <xf numFmtId="0" fontId="45" fillId="0" borderId="16" xfId="0" applyFont="1" applyBorder="1" applyAlignment="1"/>
    <xf numFmtId="0" fontId="45" fillId="30" borderId="16" xfId="0" applyFont="1" applyFill="1" applyBorder="1" applyAlignment="1"/>
    <xf numFmtId="0" fontId="44" fillId="29" borderId="16" xfId="0" applyFont="1" applyFill="1" applyBorder="1" applyAlignment="1"/>
    <xf numFmtId="14" fontId="43" fillId="29" borderId="16" xfId="0" applyNumberFormat="1" applyFont="1" applyFill="1" applyBorder="1" applyAlignment="1"/>
    <xf numFmtId="0" fontId="43" fillId="29" borderId="16" xfId="0" applyFont="1" applyFill="1" applyBorder="1" applyAlignment="1"/>
    <xf numFmtId="0" fontId="43" fillId="0" borderId="16" xfId="0" applyNumberFormat="1" applyFont="1" applyBorder="1" applyAlignment="1"/>
    <xf numFmtId="0" fontId="43" fillId="31" borderId="16" xfId="0" applyNumberFormat="1" applyFont="1" applyFill="1" applyBorder="1" applyAlignment="1"/>
    <xf numFmtId="0" fontId="43" fillId="31" borderId="16" xfId="0" applyFont="1" applyFill="1" applyBorder="1" applyAlignment="1"/>
    <xf numFmtId="14" fontId="43" fillId="31" borderId="16" xfId="0" applyNumberFormat="1" applyFont="1" applyFill="1" applyBorder="1" applyAlignment="1"/>
    <xf numFmtId="0" fontId="44" fillId="31" borderId="16" xfId="0" applyFont="1" applyFill="1" applyBorder="1" applyAlignment="1"/>
    <xf numFmtId="11" fontId="44" fillId="31" borderId="16" xfId="0" applyNumberFormat="1" applyFont="1" applyFill="1" applyBorder="1" applyAlignment="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6" fillId="0" borderId="16" xfId="0" applyFont="1" applyBorder="1" applyAlignment="1">
      <alignment vertical="center" wrapText="1"/>
    </xf>
    <xf numFmtId="0" fontId="6" fillId="4" borderId="16" xfId="0" applyFont="1" applyFill="1" applyBorder="1" applyAlignment="1">
      <alignment vertical="center" wrapText="1"/>
    </xf>
    <xf numFmtId="0" fontId="13" fillId="2" borderId="16" xfId="0" applyFont="1" applyFill="1" applyBorder="1" applyAlignment="1">
      <alignment vertical="center" wrapText="1"/>
    </xf>
    <xf numFmtId="0" fontId="14" fillId="0" borderId="16" xfId="0" applyFont="1" applyBorder="1" applyAlignment="1">
      <alignment horizontal="center" vertical="center" wrapText="1"/>
    </xf>
    <xf numFmtId="0" fontId="6" fillId="2" borderId="16" xfId="0" applyFont="1" applyFill="1" applyBorder="1" applyAlignment="1">
      <alignment vertical="center" wrapText="1"/>
    </xf>
    <xf numFmtId="0" fontId="6" fillId="7" borderId="16" xfId="0" applyFont="1" applyFill="1" applyBorder="1" applyAlignment="1">
      <alignment vertical="center" wrapText="1"/>
    </xf>
    <xf numFmtId="0" fontId="15" fillId="0" borderId="16" xfId="0" applyFont="1" applyBorder="1" applyAlignment="1">
      <alignment horizontal="center" vertical="center" wrapText="1"/>
    </xf>
    <xf numFmtId="0" fontId="6" fillId="11" borderId="16" xfId="0" applyFont="1" applyFill="1" applyBorder="1" applyAlignment="1">
      <alignment vertical="center" wrapText="1"/>
    </xf>
    <xf numFmtId="0" fontId="16" fillId="2" borderId="16" xfId="0" applyFont="1" applyFill="1" applyBorder="1" applyAlignment="1">
      <alignment vertical="center" wrapText="1"/>
    </xf>
    <xf numFmtId="0" fontId="17" fillId="0" borderId="16" xfId="0" applyFont="1" applyBorder="1" applyAlignment="1">
      <alignment horizontal="center" vertical="center" wrapText="1"/>
    </xf>
    <xf numFmtId="0" fontId="18" fillId="2" borderId="16" xfId="0" applyFont="1" applyFill="1" applyBorder="1" applyAlignment="1">
      <alignment vertical="center" wrapText="1"/>
    </xf>
    <xf numFmtId="0" fontId="6" fillId="13" borderId="16" xfId="0" applyFont="1" applyFill="1" applyBorder="1" applyAlignment="1">
      <alignment vertical="center" wrapText="1"/>
    </xf>
    <xf numFmtId="0" fontId="19" fillId="0" borderId="16" xfId="0" applyFont="1" applyBorder="1" applyAlignment="1">
      <alignment vertical="center" wrapText="1"/>
    </xf>
    <xf numFmtId="0" fontId="6" fillId="5" borderId="16" xfId="0" applyFont="1" applyFill="1" applyBorder="1" applyAlignment="1">
      <alignment vertical="center" wrapText="1"/>
    </xf>
    <xf numFmtId="0" fontId="16" fillId="0" borderId="16" xfId="0" applyFont="1" applyBorder="1" applyAlignment="1">
      <alignment vertical="center" wrapText="1"/>
    </xf>
    <xf numFmtId="0" fontId="6" fillId="2" borderId="16" xfId="0" applyFont="1" applyFill="1" applyBorder="1" applyAlignment="1">
      <alignment horizontal="center" vertical="center" wrapText="1"/>
    </xf>
  </cellXfs>
  <cellStyles count="1">
    <cellStyle name="Normal" xfId="0" builtinId="0"/>
  </cellStyles>
  <dxfs count="97">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19</c:v>
                </c:pt>
                <c:pt idx="7">
                  <c:v>16</c:v>
                </c:pt>
                <c:pt idx="8">
                  <c:v>6</c:v>
                </c:pt>
                <c:pt idx="9">
                  <c:v>10</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1</c:v>
                </c:pt>
                <c:pt idx="6">
                  <c:v>#N/A</c:v>
                </c:pt>
                <c:pt idx="7">
                  <c:v>#N/A</c:v>
                </c:pt>
                <c:pt idx="8">
                  <c:v>#N/A</c:v>
                </c:pt>
                <c:pt idx="9">
                  <c:v>7</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2</c:v>
                </c:pt>
                <c:pt idx="6">
                  <c:v>14</c:v>
                </c:pt>
                <c:pt idx="7">
                  <c:v>2</c:v>
                </c:pt>
                <c:pt idx="8">
                  <c:v>#N/A</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topLeftCell="A10" zoomScaleNormal="100" workbookViewId="0">
      <selection activeCell="A5" sqref="A5:B5"/>
    </sheetView>
  </sheetViews>
  <sheetFormatPr defaultColWidth="10.77734375" defaultRowHeight="13.2"/>
  <cols>
    <col min="1" max="1" width="54.21875" style="207" customWidth="1"/>
    <col min="2" max="2" width="43.5546875" style="207" customWidth="1"/>
    <col min="3" max="16384" width="10.77734375" style="207"/>
  </cols>
  <sheetData>
    <row r="2" spans="1:2" ht="41.55" customHeight="1">
      <c r="A2" s="282" t="s">
        <v>376</v>
      </c>
      <c r="B2" s="282"/>
    </row>
    <row r="5" spans="1:2" ht="39" customHeight="1">
      <c r="A5" s="282" t="s">
        <v>352</v>
      </c>
      <c r="B5" s="282"/>
    </row>
    <row r="7" spans="1:2">
      <c r="A7" s="265" t="s">
        <v>353</v>
      </c>
      <c r="B7" s="265" t="s">
        <v>354</v>
      </c>
    </row>
    <row r="8" spans="1:2">
      <c r="A8" s="263" t="s">
        <v>355</v>
      </c>
      <c r="B8" s="261"/>
    </row>
    <row r="9" spans="1:2" ht="26.4">
      <c r="A9" s="263" t="s">
        <v>356</v>
      </c>
      <c r="B9" s="261" t="s">
        <v>379</v>
      </c>
    </row>
    <row r="10" spans="1:2" ht="79.2">
      <c r="A10" s="263" t="s">
        <v>377</v>
      </c>
      <c r="B10" s="262" t="s">
        <v>378</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9" sqref="D19"/>
    </sheetView>
  </sheetViews>
  <sheetFormatPr defaultColWidth="14.21875" defaultRowHeight="15.75" customHeight="1"/>
  <cols>
    <col min="1" max="1" width="16.5546875" customWidth="1"/>
    <col min="2" max="5" width="17.44140625" customWidth="1"/>
    <col min="6" max="6" width="14" bestFit="1" customWidth="1"/>
    <col min="7" max="7" width="13.21875" customWidth="1"/>
    <col min="8" max="8" width="10.77734375" customWidth="1"/>
    <col min="9" max="9" width="10.44140625" customWidth="1"/>
    <col min="10" max="10" width="8.77734375" customWidth="1"/>
    <col min="11" max="11" width="13.21875" customWidth="1"/>
  </cols>
  <sheetData>
    <row r="1" spans="1:32" ht="1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1" customHeight="1">
      <c r="A2" s="283" t="s">
        <v>295</v>
      </c>
      <c r="B2" s="283"/>
      <c r="C2" s="283"/>
      <c r="D2" s="283"/>
      <c r="E2" s="283"/>
      <c r="F2" s="283"/>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3.2">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35" customHeight="1">
      <c r="A6" s="167" t="s">
        <v>296</v>
      </c>
      <c r="B6" s="173" t="e">
        <f>IF(COUNTIF('LA MACHE LASER'!$I$26:$I$103,$A6)=0,NA(),COUNTIF('LA MACHE LASER'!$I$26:$I$103,$A6))</f>
        <v>#N/A</v>
      </c>
      <c r="C6" s="173" t="e">
        <f>IF(COUNTIF(BOISARD!$H$16:$H$26,$A6)=0,NA(),COUNTIF(BOISARD!$H$16:$H$26,$A6))</f>
        <v>#N/A</v>
      </c>
      <c r="D6" s="173">
        <f>IF(COUNTIF('LA MACHE PRODUCTIQUE'!$H$15:$H$33,$A6)=0,NA(),COUNTIF('LA MACHE PRODUCTIQUE'!$H$15:$H$33,$A6))</f>
        <v>1</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35" customHeight="1">
      <c r="A7" s="167" t="s">
        <v>87</v>
      </c>
      <c r="B7" s="173">
        <f>IF(COUNTIF('LA MACHE LASER'!$I$26:$I$103,$A7)=0,NA(),COUNTIF('LA MACHE LASER'!$I$26:$I$103,$A7))</f>
        <v>1</v>
      </c>
      <c r="C7" s="173" t="e">
        <f>IF(COUNTIF(BOISARD!$H$16:$H$26,$A7)=0,NA(),COUNTIF(BOISARD!$H$16:$H$26,$A7))</f>
        <v>#N/A</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35" customHeight="1">
      <c r="A8" s="167" t="s">
        <v>297</v>
      </c>
      <c r="B8" s="173" t="e">
        <f>IF(COUNTIF('LA MACHE LASER'!$I$26:$I$103,$A8)=0,NA(),COUNTIF('LA MACHE LASER'!$I$26:$I$103,$A8))</f>
        <v>#N/A</v>
      </c>
      <c r="C8" s="173" t="e">
        <f>IF(COUNTIF(BOISARD!$H$16:$H$26,$A8)=0,NA(),COUNTIF(BOISARD!$H$16:$H$26,$A8))</f>
        <v>#N/A</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35" customHeight="1">
      <c r="A9" s="181" t="s">
        <v>298</v>
      </c>
      <c r="B9" s="173" t="e">
        <f>IF(COUNTIF('LA MACHE LASER'!$I$26:$I$103,$A9)=0,NA(),COUNTIF('LA MACHE LASER'!$I$26:$I$103,$A9))</f>
        <v>#N/A</v>
      </c>
      <c r="C9" s="173" t="e">
        <f>IF(COUNTIF(BOISARD!$H$16:$H$26,$A9)=0,NA(),COUNTIF(BOISARD!$H$16:$H$26,$A9))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35" customHeight="1">
      <c r="A10" s="167" t="s">
        <v>300</v>
      </c>
      <c r="B10" s="173" t="e">
        <f>IF(COUNTIF('LA MACHE LASER'!$I$26:$I$103,$A10)=0,NA(),COUNTIF('LA MACHE LASER'!$I$26:$I$103,$A10))</f>
        <v>#N/A</v>
      </c>
      <c r="C10" s="173" t="e">
        <f>IF(COUNTIF(BOISARD!$H$16:$H$26,$A10)=0,NA(),COUNTIF(BOISARD!$H$16:$H$26,$A10))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35" customHeight="1">
      <c r="A11" s="167" t="s">
        <v>167</v>
      </c>
      <c r="B11" s="173">
        <f>IF(COUNTIF('LA MACHE LASER'!$I$26:$I$103,$A11)=0,NA(),COUNTIF('LA MACHE LASER'!$I$26:$I$103,$A11))</f>
        <v>26</v>
      </c>
      <c r="C11" s="173">
        <f>IF(COUNTIF(BOISARD!$H$16:$H$26,$A11)=0,NA(),COUNTIF(BOISARD!$H$16:$H$26,$A11))</f>
        <v>1</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35" customHeight="1">
      <c r="A12" s="167" t="s">
        <v>50</v>
      </c>
      <c r="B12" s="173">
        <f>IF(COUNTIF('LA MACHE LASER'!$I$26:$I$103,$A12)=0,NA(),COUNTIF('LA MACHE LASER'!$I$26:$I$103,$A12))</f>
        <v>19</v>
      </c>
      <c r="C12" s="173" t="e">
        <f>IF(COUNTIF(BOISARD!$H$16:$H$26,$A12)=0,NA(),COUNTIF(BOISARD!$H$16:$H$26,$A12))</f>
        <v>#N/A</v>
      </c>
      <c r="D12" s="173">
        <f>IF(COUNTIF('LA MACHE PRODUCTIQUE'!$H$15:$H$33,$A12)=0,NA(),COUNTIF('LA MACHE PRODUCTIQUE'!$H$15:$H$33,$A12))</f>
        <v>14</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35" customHeight="1">
      <c r="A13" s="167" t="s">
        <v>301</v>
      </c>
      <c r="B13" s="173">
        <f>IF(COUNTIF('LA MACHE LASER'!$I$26:$I$103,$A13)=0,NA(),COUNTIF('LA MACHE LASER'!$I$26:$I$103,$A13))</f>
        <v>16</v>
      </c>
      <c r="C13" s="173" t="e">
        <f>IF(COUNTIF(BOISARD!$H$16:$H$26,$A13)=0,NA(),COUNTIF(BOISARD!$H$16:$H$26,$A13))</f>
        <v>#N/A</v>
      </c>
      <c r="D13" s="173">
        <f>IF(COUNTIF('LA MACHE PRODUCTIQUE'!$H$15:$H$33,$A13)=0,NA(),COUNTIF('LA MACHE PRODUCTIQUE'!$H$15:$H$33,$A13))</f>
        <v>2</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35" customHeight="1">
      <c r="A14" s="157" t="s">
        <v>302</v>
      </c>
      <c r="B14" s="173">
        <f>IF(COUNTIF('LA MACHE LASER'!$I$26:$I$103,$A14)=0,NA(),COUNTIF('LA MACHE LASER'!$I$26:$I$103,$A14))</f>
        <v>6</v>
      </c>
      <c r="C14" s="173" t="e">
        <f>IF(COUNTIF(BOISARD!$H$16:$H$26,$A14)=0,NA(),COUNTIF(BOISARD!$H$16:$H$26,$A14))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35" customHeight="1">
      <c r="A15" s="157" t="s">
        <v>303</v>
      </c>
      <c r="B15" s="173">
        <f>IF(COUNTIF('LA MACHE LASER'!$I$26:$I$103,$A15)=0,NA(),COUNTIF('LA MACHE LASER'!$I$26:$I$103,$A15))</f>
        <v>10</v>
      </c>
      <c r="C15" s="173">
        <f>IF(COUNTIF(BOISARD!$H$16:$H$26,$A15)=0,NA(),COUNTIF(BOISARD!$H$16:$H$26,$A15))</f>
        <v>7</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35" customHeight="1">
      <c r="A16" s="157" t="s">
        <v>304</v>
      </c>
      <c r="B16" s="173" t="e">
        <f>IF(COUNTIF('LA MACHE LASER'!$I$26:$I$103,$A16)=0,NA(),COUNTIF('LA MACHE LASER'!$I$26:$I$103,$A16))</f>
        <v>#N/A</v>
      </c>
      <c r="C16" s="173" t="e">
        <f>IF(COUNTIF(BOISARD!$H$16:$H$26,$A16)=0,NA(),COUNTIF(BOISARD!$H$16:$H$26,$A16))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35" customHeight="1">
      <c r="A17" s="165" t="s">
        <v>299</v>
      </c>
      <c r="B17" s="172">
        <f>'LA MACHE LASER'!$F$14</f>
        <v>239</v>
      </c>
      <c r="C17" s="172">
        <f>BOISARD!$G$12</f>
        <v>44</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5" customHeight="1">
      <c r="A18" s="178" t="s">
        <v>321</v>
      </c>
      <c r="B18" s="178"/>
      <c r="C18" s="178"/>
      <c r="D18" s="159">
        <f>SUM(B17:E17)</f>
        <v>569</v>
      </c>
      <c r="E18" s="208" t="s">
        <v>322</v>
      </c>
      <c r="G18" s="2"/>
      <c r="O18" s="2"/>
      <c r="P18" s="2"/>
      <c r="Q18" s="2"/>
      <c r="R18" s="2"/>
      <c r="S18" s="2"/>
      <c r="T18" s="2"/>
      <c r="U18" s="2"/>
      <c r="V18" s="2"/>
      <c r="W18" s="2"/>
      <c r="X18" s="2"/>
      <c r="Y18" s="2"/>
      <c r="Z18" s="2"/>
      <c r="AA18" s="2"/>
      <c r="AB18" s="2"/>
      <c r="AC18" s="2"/>
      <c r="AD18" s="2"/>
      <c r="AE18" s="2"/>
      <c r="AF18" s="2"/>
    </row>
    <row r="19" spans="1:32" ht="26.4">
      <c r="A19" s="179" t="s">
        <v>323</v>
      </c>
      <c r="B19" s="179"/>
      <c r="C19" s="179"/>
      <c r="D19" s="161">
        <v>1000</v>
      </c>
      <c r="E19" s="208" t="s">
        <v>324</v>
      </c>
      <c r="G19" s="2"/>
      <c r="O19" s="2"/>
      <c r="P19" s="2"/>
      <c r="Q19" s="2"/>
      <c r="R19" s="2"/>
      <c r="S19" s="2"/>
      <c r="T19" s="2"/>
      <c r="U19" s="2"/>
      <c r="V19" s="2"/>
      <c r="W19" s="2"/>
      <c r="X19" s="2"/>
      <c r="Y19" s="2"/>
      <c r="Z19" s="2"/>
      <c r="AA19" s="2"/>
      <c r="AB19" s="2"/>
      <c r="AC19" s="2"/>
      <c r="AD19" s="2"/>
      <c r="AE19" s="2"/>
      <c r="AF19" s="2"/>
    </row>
    <row r="20" spans="1:32" ht="27.6">
      <c r="A20" s="180" t="s">
        <v>325</v>
      </c>
      <c r="B20" s="180"/>
      <c r="C20" s="180"/>
      <c r="D20" s="162">
        <f>SUM(D18:D19)</f>
        <v>1569</v>
      </c>
      <c r="E20" s="209" t="s">
        <v>326</v>
      </c>
      <c r="G20" s="2"/>
      <c r="O20" s="2"/>
      <c r="P20" s="2"/>
      <c r="Q20" s="2"/>
      <c r="R20" s="2"/>
      <c r="S20" s="2"/>
      <c r="T20" s="2"/>
      <c r="U20" s="2"/>
      <c r="V20" s="2"/>
      <c r="W20" s="2"/>
      <c r="X20" s="2"/>
      <c r="Y20" s="2"/>
      <c r="Z20" s="2"/>
      <c r="AA20" s="2"/>
      <c r="AB20" s="2"/>
      <c r="AC20" s="2"/>
      <c r="AD20" s="2"/>
      <c r="AE20" s="2"/>
      <c r="AF20" s="2"/>
    </row>
    <row r="21" spans="1:32" ht="13.2">
      <c r="G21" s="2"/>
      <c r="O21" s="2"/>
      <c r="P21" s="2"/>
      <c r="Q21" s="2"/>
      <c r="R21" s="2"/>
      <c r="S21" s="2"/>
      <c r="T21" s="2"/>
      <c r="U21" s="2"/>
      <c r="V21" s="2"/>
      <c r="W21" s="2"/>
      <c r="X21" s="2"/>
      <c r="Y21" s="2"/>
      <c r="Z21" s="2"/>
      <c r="AA21" s="2"/>
      <c r="AB21" s="2"/>
      <c r="AC21" s="2"/>
      <c r="AD21" s="2"/>
      <c r="AE21" s="2"/>
      <c r="AF21" s="2"/>
    </row>
    <row r="22" spans="1:32" ht="13.2">
      <c r="G22" s="2"/>
      <c r="O22" s="2"/>
      <c r="P22" s="2"/>
      <c r="Q22" s="2"/>
      <c r="R22" s="2"/>
      <c r="S22" s="2"/>
      <c r="T22" s="2"/>
      <c r="U22" s="2"/>
      <c r="V22" s="2"/>
      <c r="W22" s="2"/>
      <c r="X22" s="2"/>
      <c r="Y22" s="2"/>
      <c r="Z22" s="2"/>
      <c r="AA22" s="2"/>
      <c r="AB22" s="2"/>
      <c r="AC22" s="2"/>
      <c r="AD22" s="2"/>
      <c r="AE22" s="2"/>
      <c r="AF22" s="2"/>
    </row>
    <row r="23" spans="1:32" ht="13.2">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3.2">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3.2">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3.2">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3.2">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3.2">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3.2">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3.2">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3.2">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3.2">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3.2">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3.2">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3.2">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3.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3.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3.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3.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3.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3.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3.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3.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3.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3.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3.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3.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3.2">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3.2">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3.2">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3.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3.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3.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3.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3.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3.2">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3.2">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3.2">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3.2">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3.2">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3.2">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3.2">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3.2">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3.2">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3.2">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3.2">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3.2">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3.2">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3.2">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3.2">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3.2">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3.2">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3.2">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3.2">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3.2">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3.2">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3.2">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3.2">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3.2">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3.2">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3.2">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3.2">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3.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3.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3.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3.2">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3.2">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3.2">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3.2">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3.2">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3.2">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3.2">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3.2">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3.2">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3.2">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3.2">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3.2">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3.2">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3.2">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3.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3.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3.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3.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3.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3.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3.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3.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3.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3.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3.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3.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3.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3.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3.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3.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3.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3.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3.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3.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3.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3.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3.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3.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3.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3.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3.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3.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3.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3.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3.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3.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3.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3.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3.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3.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3.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3.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3.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3.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3.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3.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3.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3.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3.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3.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3.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3.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3.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3.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3.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3.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3.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3.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3.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3.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3.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3.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3.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3.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3.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3.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3.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3.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3.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3.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3.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3.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3.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3.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3.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3.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3.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3.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3.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3.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3.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3.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3.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3.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3.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3.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3.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3.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3.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3.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3.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3.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3.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3.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3.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3.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3.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3.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3.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3.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3.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3.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3.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3.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3.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3.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3.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3.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3.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3.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3.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3.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3.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3.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3.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3.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3.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3.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3.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3.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3.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3.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3.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3.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3.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3.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3.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3.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3.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3.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3.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3.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3.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3.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3.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3.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3.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3.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3.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3.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3.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3.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3.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3.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3.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3.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3.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3.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3.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3.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3.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3.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3.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3.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3.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3.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3.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3.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3.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3.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3.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3.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3.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3.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3.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3.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3.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3.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3.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3.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3.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3.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3.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3.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3.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3.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3.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3.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3.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3.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3.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3.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3.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3.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3.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3.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3.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3.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3.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3.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3.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3.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3.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3.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3.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3.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3.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3.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3.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3.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3.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3.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3.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3.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3.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3.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3.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3.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3.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3.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3.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3.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3.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3.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3.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3.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3.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3.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3.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3.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3.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3.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3.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3.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3.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3.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3.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3.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3.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3.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3.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3.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3.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3.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3.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3.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3.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3.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3.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3.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3.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3.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3.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3.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3.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3.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3.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3.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3.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3.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3.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3.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3.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3.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3.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3.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3.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3.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3.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3.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3.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3.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3.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3.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3.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3.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3.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3.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3.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3.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3.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3.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3.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3.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3.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3.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3.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3.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3.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3.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3.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3.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3.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3.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3.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3.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3.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3.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3.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3.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3.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3.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3.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3.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3.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3.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3.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3.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3.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3.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3.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3.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3.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3.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3.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3.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3.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3.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3.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3.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3.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3.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3.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3.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3.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3.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3.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3.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3.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3.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3.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3.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3.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3.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3.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3.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3.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3.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3.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3.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3.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3.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3.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3.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3.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3.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3.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3.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3.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3.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3.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3.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3.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3.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3.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3.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3.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3.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3.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3.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3.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3.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3.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3.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3.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3.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3.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3.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3.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3.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3.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3.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3.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3.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3.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3.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3.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3.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3.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3.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3.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3.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3.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3.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3.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3.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3.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3.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3.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3.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3.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3.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3.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3.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3.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3.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3.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3.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3.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3.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3.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3.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3.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3.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3.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3.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3.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3.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3.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3.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3.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3.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3.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3.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3.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3.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3.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3.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3.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3.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3.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3.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3.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3.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3.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3.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3.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3.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3.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3.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3.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3.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3.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3.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3.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3.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3.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3.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3.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3.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3.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3.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3.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3.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3.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3.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3.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3.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3.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3.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3.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3.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3.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3.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3.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3.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3.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3.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3.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3.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3.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3.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3.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3.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3.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3.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3.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3.2">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3.2">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3.2">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3.2">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3.2">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3.2">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3.2">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3.2">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3.2">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3.2">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3.2">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3.2">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3.2">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3.2">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3.2">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3.2">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3.2">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3.2">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3.2">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3.2">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3.2">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3.2">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3.2">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3.2">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3.2">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3.2">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3.2">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3.2">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3.2">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3.2">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3.2">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3.2">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3.2">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3.2">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3.2">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3.2">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3.2">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3.2">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3.2">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3.2">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3.2">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3.2">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3.2">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3.2">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3.2">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3.2">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3.2">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3.2">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3.2">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3.2">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3.2">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3.2">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3.2">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3.2">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3.2">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3.2">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3.2">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3.2">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3.2">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3.2">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3.2">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3.2">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3.2">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3.2">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3.2">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3.2">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3.2">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3.2">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3.2">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3.2">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3.2">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3.2">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3.2">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3.2">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3.2">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3.2">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3.2">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3.2">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3.2">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3.2">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3.2">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3.2">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3.2">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3.2">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3.2">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3.2">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3.2">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3.2">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3.2">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3.2">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3.2">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3.2">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3.2">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3.2">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3.2">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3.2">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3.2">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3.2">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3.2">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3.2">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3.2">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3.2">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3.2">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3.2">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3.2">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3.2">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3.2">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3.2">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3.2">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3.2">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3.2">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3.2">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3.2">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3.2">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3.2">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3.2">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3.2">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3.2">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3.2">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3.2">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3.2">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3.2">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3.2">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3.2">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3.2">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3.2">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3.2">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3.2">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3.2">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3.2">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3.2">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3.2">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3.2">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3.2">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3.2">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3.2">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3.2">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3.2">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3.2">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3.2">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3.2">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3.2">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3.2">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3.2">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3.2">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3.2">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3.2">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3.2">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3.2">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3.2">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3.2">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3.2">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3.2">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3.2">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3.2">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3.2">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3.2">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3.2">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3.2">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3.2">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3.2">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3.2">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3.2">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3.2">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3.2">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3.2">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3.2">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3.2">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3.2">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3.2">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3.2">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3.2">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3.2">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3.2">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3.2">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3.2">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3.2">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3.2">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3.2">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3.2">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3.2">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3.2">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3.2">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3.2">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3.2">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3.2">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3.2">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3.2">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3.2">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3.2">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3.2">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3.2">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3.2">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3.2">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3.2">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3.2">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3.2">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3.2">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3.2">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3.2">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3.2">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3.2">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3.2">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3.2">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3.2">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3.2">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3.2">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3.2">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3.2">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3.2">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3.2">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3.2">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3.2">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3.2">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3.2">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3.2">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3.2">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3.2">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3.2">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3.2">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3.2">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3.2">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3.2">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3.2">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3.2">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3.2">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3.2">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3.2">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3.2">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3.2">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3.2">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3.2">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3.2">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3.2">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3.2">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3.2">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3.2">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3.2">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3.2">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3.2">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3.2">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3.2">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3.2">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3.2">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3.2">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3.2">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3.2">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3.2">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3.2">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3.2">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3.2">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3.2">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3.2">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3.2">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3.2">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3.2">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3.2">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3.2">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3.2">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3.2">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3.2">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3.2">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3.2">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3.2">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3.2">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3.2">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3.2">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3.2">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3.2">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3.2">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3.2">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3.2">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3.2">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3.2">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3.2">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3.2">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3.2">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3.2">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3.2">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3.2">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3.2">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3.2">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3.2">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3.2">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3.2">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3.2">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3.2">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3.2">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3.2">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3.2">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3.2">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3.2">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3.2">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3.2">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3.2">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3.2">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3.2">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3.2">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3.2">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3.2">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3.2">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3.2">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3.2">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3.2">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3.2">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3.2">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3.2">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3.2">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3.2">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3.2">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3.2">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3.2">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3.2">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3.2">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3.2">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3.2">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3.2">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3.2">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3.2">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3.2">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3.2">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3.2">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3.2">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3.2">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3.2">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3.2">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3.2">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3.2">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3.2">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3.2">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3.2">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3.2">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3.2">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3.2">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3.2">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3.2">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3.2">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3.2">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3.2">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3.2">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3.2">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3.2">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3.2">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3.2">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3.2">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3.2">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3.2">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3.2">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3.2">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3.2">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3.2">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3.2">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3.2">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3.2">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3.2">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3.2">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3.2">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3.2">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3.2">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3.2">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3.2">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3.2">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3.2">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3.2">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3.2">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3.2">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3.2">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3.2">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3.2">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3.2">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3.2">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3.2">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3.2">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3.2">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3.2">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3.2">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3.2">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3.2">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3.2">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3.2">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3.2">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3.2">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3.2">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3.2">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3.2">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3.2">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3.2">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3.2">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3.2">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3.2">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3.2">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3.2">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3.2">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3.2">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3.2">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3.2">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3.2">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3.2">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3.2">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3.2">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3.2">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3.2">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3.2">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3.2">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3.2">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3.2">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3.2">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3.2">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3.2">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3.2">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3.2">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3.2">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3.2">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3.2">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3.2">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3.2">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3.2">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3.2">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3.2">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3.2">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3.2">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3.2">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3.2">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3.2">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3.2">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3.2">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3.2">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3.2">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3.2">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3.2">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3.2">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3.2">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3.2">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3.2">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3.2">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3.2">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3.2">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3.2">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3.2">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3.2">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3.2">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3.2">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3.2">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3.2">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3.2">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3.2">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3.2">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3.2">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3.2">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3.2">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c r="A1003" s="2"/>
      <c r="B1003" s="2"/>
      <c r="C1003" s="2"/>
      <c r="D1003" s="2"/>
      <c r="E1003" s="2"/>
      <c r="F1003" s="2"/>
    </row>
    <row r="1004" spans="1:32" ht="15.75" customHeight="1">
      <c r="A1004" s="2"/>
      <c r="B1004" s="2"/>
      <c r="C1004" s="2"/>
      <c r="D1004" s="2"/>
      <c r="E1004" s="2"/>
      <c r="F1004" s="2"/>
    </row>
    <row r="1005" spans="1:32" ht="15.75" customHeight="1">
      <c r="A1005" s="2"/>
      <c r="B1005" s="2"/>
      <c r="C1005" s="2"/>
      <c r="D1005" s="2"/>
      <c r="E1005" s="2"/>
      <c r="F1005" s="2"/>
    </row>
    <row r="1006" spans="1:32" ht="15.75" customHeight="1">
      <c r="A1006" s="2"/>
      <c r="B1006" s="2"/>
      <c r="C1006" s="2"/>
      <c r="D1006" s="2"/>
      <c r="E1006" s="2"/>
      <c r="F1006" s="2"/>
    </row>
    <row r="1007" spans="1:32" ht="15.75" customHeight="1">
      <c r="A1007" s="2"/>
      <c r="B1007" s="2"/>
      <c r="C1007" s="2"/>
      <c r="D1007" s="2"/>
      <c r="E1007" s="2"/>
      <c r="F1007" s="2"/>
    </row>
    <row r="1008" spans="1:32" ht="15.75" customHeight="1">
      <c r="A1008" s="2"/>
      <c r="B1008" s="2"/>
      <c r="C1008" s="2"/>
      <c r="D1008" s="2"/>
      <c r="E1008" s="2"/>
      <c r="F1008" s="2"/>
    </row>
    <row r="1009" spans="1:6" ht="15.75" customHeight="1">
      <c r="A1009" s="2"/>
      <c r="B1009" s="2"/>
      <c r="C1009" s="2"/>
      <c r="D1009" s="2"/>
      <c r="E1009" s="2"/>
      <c r="F1009" s="2"/>
    </row>
    <row r="1010" spans="1:6" ht="15.75" customHeight="1">
      <c r="A1010" s="2"/>
      <c r="B1010" s="2"/>
      <c r="C1010" s="2"/>
      <c r="D1010" s="2"/>
      <c r="E1010" s="2"/>
    </row>
    <row r="1011" spans="1:6" ht="15.75" customHeight="1">
      <c r="A1011" s="2"/>
      <c r="B1011" s="2"/>
      <c r="C1011" s="2"/>
      <c r="D1011" s="2"/>
      <c r="E1011" s="2"/>
    </row>
    <row r="1012" spans="1:6" ht="15.75" customHeight="1">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pageSetUpPr fitToPage="1"/>
  </sheetPr>
  <dimension ref="A1:AC896"/>
  <sheetViews>
    <sheetView showGridLines="0" tabSelected="1" view="pageLayout" topLeftCell="A14" zoomScale="70" zoomScaleNormal="80" zoomScalePageLayoutView="70" workbookViewId="0">
      <selection activeCell="A25" sqref="A25"/>
    </sheetView>
  </sheetViews>
  <sheetFormatPr defaultColWidth="14.44140625" defaultRowHeight="15.75" customHeight="1"/>
  <cols>
    <col min="1" max="1" width="27.77734375" style="187" customWidth="1"/>
    <col min="2" max="2" width="11.21875" style="187" customWidth="1"/>
    <col min="3" max="3" width="40" style="187" customWidth="1"/>
    <col min="4" max="4" width="12.21875" style="187" customWidth="1"/>
    <col min="5" max="5" width="19.5546875" style="187" customWidth="1"/>
    <col min="6" max="6" width="29" style="187" customWidth="1"/>
    <col min="7" max="7" width="28.77734375" style="187" customWidth="1"/>
    <col min="8" max="8" width="18.5546875" style="187" customWidth="1"/>
    <col min="9" max="10" width="14.44140625" style="187"/>
    <col min="11" max="11" width="35.5546875" style="187" customWidth="1"/>
    <col min="12" max="16384" width="14.44140625" style="187"/>
  </cols>
  <sheetData>
    <row r="1" spans="1:29" ht="15.75" customHeight="1">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c r="A5" s="286" t="s">
        <v>1</v>
      </c>
      <c r="B5" s="287"/>
      <c r="C5" s="287"/>
      <c r="D5" s="287"/>
      <c r="E5" s="287"/>
      <c r="F5" s="287"/>
      <c r="G5" s="287"/>
      <c r="H5" s="287"/>
      <c r="I5" s="287"/>
      <c r="J5" s="288"/>
      <c r="K5" s="24"/>
      <c r="L5" s="24"/>
      <c r="M5" s="24"/>
      <c r="N5" s="24"/>
      <c r="O5" s="24"/>
      <c r="P5" s="24"/>
      <c r="Q5" s="24"/>
      <c r="R5" s="24"/>
      <c r="S5" s="24"/>
      <c r="T5" s="24"/>
      <c r="U5" s="24"/>
      <c r="V5" s="24"/>
      <c r="W5" s="24"/>
      <c r="X5" s="24"/>
      <c r="Y5" s="24"/>
      <c r="Z5" s="24"/>
      <c r="AA5" s="24"/>
      <c r="AB5" s="24"/>
      <c r="AC5" s="24"/>
    </row>
    <row r="6" spans="1:29" ht="15.75" customHeight="1">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2">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39.6">
      <c r="A9" s="41"/>
      <c r="B9" s="41"/>
      <c r="C9" s="41"/>
      <c r="D9" s="284"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6" customHeight="1">
      <c r="A10" s="41"/>
      <c r="B10" s="41"/>
      <c r="C10" s="41"/>
      <c r="D10" s="285"/>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c r="A12" s="193" t="s">
        <v>21</v>
      </c>
      <c r="B12" s="193" t="s">
        <v>22</v>
      </c>
      <c r="C12" s="41"/>
      <c r="E12" s="289" t="s">
        <v>23</v>
      </c>
      <c r="F12" s="290"/>
      <c r="G12" s="194">
        <f>SUM(D17:D38)</f>
        <v>44</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c r="A13" s="193" t="s">
        <v>29</v>
      </c>
      <c r="B13" s="195">
        <f ca="1">TODAY()</f>
        <v>43508</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2.8">
      <c r="A15" s="196" t="s">
        <v>31</v>
      </c>
      <c r="B15" s="196" t="s">
        <v>34</v>
      </c>
      <c r="C15" s="196" t="s">
        <v>35</v>
      </c>
      <c r="D15" s="196" t="s">
        <v>36</v>
      </c>
      <c r="E15" s="196" t="s">
        <v>37</v>
      </c>
      <c r="F15" s="196" t="s">
        <v>38</v>
      </c>
      <c r="G15" s="196" t="s">
        <v>39</v>
      </c>
      <c r="H15" s="101" t="s">
        <v>40</v>
      </c>
      <c r="I15" s="196" t="s">
        <v>41</v>
      </c>
      <c r="J15" s="183" t="s">
        <v>42</v>
      </c>
      <c r="K15" s="231" t="s">
        <v>365</v>
      </c>
      <c r="L15" s="24"/>
      <c r="M15" s="24"/>
      <c r="N15" s="24"/>
      <c r="O15" s="24"/>
      <c r="P15" s="24"/>
      <c r="Q15" s="24"/>
      <c r="R15" s="24"/>
      <c r="S15" s="24"/>
      <c r="T15" s="24"/>
      <c r="U15" s="24"/>
      <c r="V15" s="24"/>
      <c r="W15" s="24"/>
      <c r="X15" s="24"/>
      <c r="Y15" s="24"/>
      <c r="Z15" s="24"/>
      <c r="AA15" s="24"/>
      <c r="AB15" s="24"/>
      <c r="AC15" s="24"/>
    </row>
    <row r="16" spans="1:29" ht="15.75" customHeight="1">
      <c r="L16" s="24"/>
      <c r="M16" s="24"/>
      <c r="N16" s="24"/>
      <c r="O16" s="24"/>
      <c r="P16" s="24"/>
      <c r="Q16" s="24"/>
      <c r="R16" s="24"/>
      <c r="S16" s="24"/>
      <c r="T16" s="24"/>
      <c r="U16" s="24"/>
      <c r="V16" s="24"/>
      <c r="W16" s="24"/>
      <c r="X16" s="24"/>
      <c r="Y16" s="24"/>
      <c r="Z16" s="24"/>
      <c r="AA16" s="24"/>
      <c r="AB16" s="24"/>
      <c r="AC16" s="24"/>
    </row>
    <row r="17" spans="1:29" ht="15.75" customHeight="1">
      <c r="A17" s="155" t="s">
        <v>44</v>
      </c>
      <c r="B17" s="155" t="s">
        <v>45</v>
      </c>
      <c r="C17" s="107" t="s">
        <v>53</v>
      </c>
      <c r="D17" s="107">
        <v>1</v>
      </c>
      <c r="E17" s="107"/>
      <c r="F17" s="107" t="s">
        <v>47</v>
      </c>
      <c r="G17" s="197" t="s">
        <v>48</v>
      </c>
      <c r="H17" s="199" t="s">
        <v>303</v>
      </c>
      <c r="I17" s="198" t="s">
        <v>51</v>
      </c>
      <c r="J17" s="184">
        <v>1</v>
      </c>
      <c r="K17" s="231" t="s">
        <v>364</v>
      </c>
      <c r="L17" s="24"/>
      <c r="M17" s="24"/>
      <c r="N17" s="24"/>
      <c r="O17" s="24"/>
      <c r="P17" s="24"/>
      <c r="Q17" s="24"/>
      <c r="R17" s="24"/>
      <c r="S17" s="24"/>
      <c r="T17" s="24"/>
      <c r="U17" s="24"/>
      <c r="V17" s="24"/>
      <c r="W17" s="24"/>
      <c r="X17" s="24"/>
      <c r="Y17" s="24"/>
      <c r="Z17" s="24"/>
      <c r="AA17" s="24"/>
      <c r="AB17" s="24"/>
      <c r="AC17" s="24"/>
    </row>
    <row r="18" spans="1:29" ht="15.75" customHeight="1">
      <c r="A18" s="155" t="s">
        <v>44</v>
      </c>
      <c r="B18" s="155" t="s">
        <v>73</v>
      </c>
      <c r="C18" s="107" t="s">
        <v>97</v>
      </c>
      <c r="D18" s="107">
        <v>5</v>
      </c>
      <c r="E18" s="126" t="s">
        <v>98</v>
      </c>
      <c r="F18" s="107" t="s">
        <v>99</v>
      </c>
      <c r="G18" s="201" t="s">
        <v>93</v>
      </c>
      <c r="H18" s="199" t="s">
        <v>303</v>
      </c>
      <c r="I18" s="200" t="s">
        <v>94</v>
      </c>
      <c r="J18" s="186">
        <v>3</v>
      </c>
      <c r="K18" s="231" t="s">
        <v>364</v>
      </c>
      <c r="L18" s="24"/>
      <c r="M18" s="24"/>
      <c r="N18" s="24"/>
      <c r="O18" s="24"/>
      <c r="P18" s="24"/>
      <c r="Q18" s="24"/>
      <c r="R18" s="24"/>
      <c r="S18" s="24"/>
      <c r="T18" s="24"/>
      <c r="U18" s="24"/>
      <c r="V18" s="24"/>
      <c r="W18" s="24"/>
      <c r="X18" s="24"/>
      <c r="Y18" s="24"/>
      <c r="Z18" s="24"/>
      <c r="AA18" s="24"/>
      <c r="AB18" s="24"/>
      <c r="AC18" s="24"/>
    </row>
    <row r="19" spans="1:29" ht="15.75" customHeight="1">
      <c r="A19" s="155" t="s">
        <v>44</v>
      </c>
      <c r="B19" s="155" t="s">
        <v>73</v>
      </c>
      <c r="C19" s="107" t="s">
        <v>118</v>
      </c>
      <c r="D19" s="107">
        <v>2</v>
      </c>
      <c r="E19" s="126" t="s">
        <v>119</v>
      </c>
      <c r="F19" s="107" t="s">
        <v>99</v>
      </c>
      <c r="G19" s="202" t="s">
        <v>120</v>
      </c>
      <c r="H19" s="199" t="s">
        <v>303</v>
      </c>
      <c r="I19" s="200" t="s">
        <v>94</v>
      </c>
      <c r="J19" s="185">
        <v>2</v>
      </c>
      <c r="L19" s="24"/>
      <c r="M19" s="24"/>
      <c r="N19" s="24"/>
      <c r="O19" s="24"/>
      <c r="P19" s="24"/>
      <c r="Q19" s="24"/>
      <c r="R19" s="24"/>
      <c r="S19" s="24"/>
      <c r="T19" s="24"/>
      <c r="U19" s="24"/>
      <c r="V19" s="24"/>
      <c r="W19" s="24"/>
      <c r="X19" s="24"/>
      <c r="Y19" s="24"/>
      <c r="Z19" s="24"/>
      <c r="AA19" s="24"/>
      <c r="AB19" s="24"/>
      <c r="AC19" s="24"/>
    </row>
    <row r="20" spans="1:29" ht="15.75" customHeight="1">
      <c r="A20" s="155" t="s">
        <v>44</v>
      </c>
      <c r="B20" s="155" t="s">
        <v>73</v>
      </c>
      <c r="C20" s="107" t="s">
        <v>125</v>
      </c>
      <c r="D20" s="107">
        <v>2</v>
      </c>
      <c r="E20" s="126" t="s">
        <v>126</v>
      </c>
      <c r="F20" s="107" t="s">
        <v>127</v>
      </c>
      <c r="G20" s="202" t="s">
        <v>120</v>
      </c>
      <c r="H20" s="199" t="s">
        <v>303</v>
      </c>
      <c r="I20" s="200" t="s">
        <v>94</v>
      </c>
      <c r="J20" s="185">
        <v>2</v>
      </c>
      <c r="L20" s="24"/>
      <c r="M20" s="24"/>
      <c r="N20" s="24"/>
      <c r="O20" s="24"/>
      <c r="P20" s="24"/>
      <c r="Q20" s="24"/>
      <c r="R20" s="24"/>
      <c r="S20" s="24"/>
      <c r="T20" s="24"/>
      <c r="U20" s="24"/>
      <c r="V20" s="24"/>
      <c r="W20" s="24"/>
      <c r="X20" s="24"/>
      <c r="Y20" s="24"/>
      <c r="Z20" s="24"/>
      <c r="AA20" s="24"/>
      <c r="AB20" s="24"/>
      <c r="AC20" s="24"/>
    </row>
    <row r="21" spans="1:29" ht="15.75" customHeight="1">
      <c r="A21" s="155" t="s">
        <v>44</v>
      </c>
      <c r="B21" s="155" t="s">
        <v>73</v>
      </c>
      <c r="C21" s="107" t="s">
        <v>131</v>
      </c>
      <c r="D21" s="107">
        <v>2</v>
      </c>
      <c r="E21" s="126" t="s">
        <v>132</v>
      </c>
      <c r="F21" s="107" t="s">
        <v>127</v>
      </c>
      <c r="G21" s="202" t="s">
        <v>120</v>
      </c>
      <c r="H21" s="199" t="s">
        <v>303</v>
      </c>
      <c r="I21" s="200" t="s">
        <v>94</v>
      </c>
      <c r="J21" s="185">
        <v>2</v>
      </c>
      <c r="K21" s="24"/>
      <c r="L21" s="24"/>
      <c r="M21" s="24"/>
      <c r="N21" s="24"/>
      <c r="O21" s="24"/>
      <c r="P21" s="24"/>
      <c r="Q21" s="24"/>
      <c r="R21" s="24"/>
      <c r="S21" s="24"/>
      <c r="T21" s="24"/>
      <c r="U21" s="24"/>
      <c r="V21" s="24"/>
      <c r="W21" s="24"/>
      <c r="X21" s="24"/>
      <c r="Y21" s="24"/>
      <c r="Z21" s="24"/>
      <c r="AA21" s="24"/>
      <c r="AB21" s="24"/>
      <c r="AC21" s="24"/>
    </row>
    <row r="22" spans="1:29" ht="15.75" customHeight="1">
      <c r="A22" s="155" t="s">
        <v>104</v>
      </c>
      <c r="B22" s="155" t="s">
        <v>73</v>
      </c>
      <c r="C22" s="203" t="s">
        <v>154</v>
      </c>
      <c r="D22" s="126">
        <v>1</v>
      </c>
      <c r="E22" s="126" t="s">
        <v>157</v>
      </c>
      <c r="F22" s="126" t="s">
        <v>99</v>
      </c>
      <c r="G22" s="201" t="s">
        <v>93</v>
      </c>
      <c r="H22" s="199" t="s">
        <v>303</v>
      </c>
      <c r="I22" s="198" t="s">
        <v>158</v>
      </c>
      <c r="J22" s="186">
        <v>3</v>
      </c>
      <c r="K22" s="24"/>
      <c r="L22" s="24"/>
      <c r="M22" s="24"/>
      <c r="N22" s="24"/>
      <c r="O22" s="24"/>
      <c r="P22" s="24"/>
      <c r="Q22" s="24"/>
      <c r="R22" s="24"/>
      <c r="S22" s="24"/>
      <c r="T22" s="24"/>
      <c r="U22" s="24"/>
      <c r="V22" s="24"/>
      <c r="W22" s="24"/>
      <c r="X22" s="24"/>
      <c r="Y22" s="24"/>
      <c r="Z22" s="24"/>
      <c r="AA22" s="24"/>
      <c r="AB22" s="24"/>
      <c r="AC22" s="24"/>
    </row>
    <row r="23" spans="1:29" ht="15.75" customHeight="1">
      <c r="A23" s="138" t="s">
        <v>104</v>
      </c>
      <c r="B23" s="138" t="s">
        <v>73</v>
      </c>
      <c r="C23" s="203" t="s">
        <v>159</v>
      </c>
      <c r="D23" s="126">
        <v>1</v>
      </c>
      <c r="E23" s="126" t="s">
        <v>157</v>
      </c>
      <c r="F23" s="126" t="s">
        <v>99</v>
      </c>
      <c r="G23" s="201" t="s">
        <v>93</v>
      </c>
      <c r="H23" s="199" t="s">
        <v>303</v>
      </c>
      <c r="I23" s="198" t="s">
        <v>158</v>
      </c>
      <c r="J23" s="186">
        <v>3</v>
      </c>
      <c r="K23" s="24"/>
      <c r="L23" s="24"/>
      <c r="M23" s="24"/>
      <c r="N23" s="24"/>
      <c r="O23" s="24"/>
      <c r="P23" s="24"/>
      <c r="Q23" s="24"/>
      <c r="R23" s="24"/>
      <c r="S23" s="24"/>
      <c r="T23" s="24"/>
      <c r="U23" s="24"/>
      <c r="V23" s="24"/>
      <c r="W23" s="24"/>
      <c r="X23" s="24"/>
      <c r="Y23" s="24"/>
      <c r="Z23" s="24"/>
      <c r="AA23" s="24"/>
      <c r="AB23" s="24"/>
      <c r="AC23" s="24"/>
    </row>
    <row r="24" spans="1:29" ht="15.75" customHeight="1">
      <c r="K24" s="24"/>
      <c r="L24" s="24"/>
      <c r="M24" s="24"/>
      <c r="N24" s="24"/>
      <c r="O24" s="24"/>
      <c r="P24" s="24"/>
      <c r="Q24" s="24"/>
      <c r="R24" s="24"/>
      <c r="S24" s="24"/>
      <c r="T24" s="24"/>
      <c r="U24" s="24"/>
      <c r="V24" s="24"/>
      <c r="W24" s="24"/>
      <c r="X24" s="24"/>
      <c r="Y24" s="24"/>
      <c r="Z24" s="24"/>
      <c r="AA24" s="24"/>
      <c r="AB24" s="24"/>
      <c r="AC24" s="24"/>
    </row>
    <row r="25" spans="1:29" ht="15.75" customHeight="1">
      <c r="L25" s="24"/>
      <c r="M25" s="24"/>
      <c r="N25" s="24"/>
      <c r="O25" s="24"/>
      <c r="P25" s="24"/>
      <c r="Q25" s="24"/>
      <c r="R25" s="24"/>
      <c r="S25" s="24"/>
      <c r="T25" s="24"/>
      <c r="U25" s="24"/>
      <c r="V25" s="24"/>
      <c r="W25" s="24"/>
      <c r="X25" s="24"/>
      <c r="Y25" s="24"/>
      <c r="Z25" s="24"/>
      <c r="AA25" s="24"/>
      <c r="AB25" s="24"/>
      <c r="AC25" s="24"/>
    </row>
    <row r="26" spans="1:29" ht="15.75" customHeight="1">
      <c r="A26" s="213" t="s">
        <v>44</v>
      </c>
      <c r="B26" s="213" t="s">
        <v>164</v>
      </c>
      <c r="C26" s="214" t="s">
        <v>165</v>
      </c>
      <c r="D26" s="214">
        <v>1</v>
      </c>
      <c r="E26" s="214"/>
      <c r="F26" s="214" t="s">
        <v>47</v>
      </c>
      <c r="G26" s="214" t="s">
        <v>166</v>
      </c>
      <c r="H26" s="321" t="s">
        <v>167</v>
      </c>
      <c r="I26" s="214" t="s">
        <v>94</v>
      </c>
      <c r="J26" s="213"/>
      <c r="L26" s="24"/>
      <c r="M26" s="24"/>
      <c r="N26" s="24"/>
      <c r="O26" s="24"/>
      <c r="P26" s="24"/>
      <c r="Q26" s="24"/>
      <c r="R26" s="24"/>
      <c r="S26" s="24"/>
      <c r="T26" s="24"/>
      <c r="U26" s="24"/>
      <c r="V26" s="24"/>
      <c r="W26" s="24"/>
      <c r="X26" s="24"/>
      <c r="Y26" s="24"/>
      <c r="Z26" s="24"/>
      <c r="AA26" s="24"/>
      <c r="AB26" s="24"/>
      <c r="AC26" s="24"/>
    </row>
    <row r="27" spans="1:29" ht="15.75" customHeight="1">
      <c r="A27" s="210" t="s">
        <v>44</v>
      </c>
      <c r="B27" s="210" t="s">
        <v>73</v>
      </c>
      <c r="C27" s="308" t="s">
        <v>143</v>
      </c>
      <c r="D27" s="308">
        <v>1</v>
      </c>
      <c r="E27" s="308"/>
      <c r="F27" s="308" t="s">
        <v>146</v>
      </c>
      <c r="G27" s="210" t="s">
        <v>86</v>
      </c>
      <c r="H27" s="321" t="s">
        <v>167</v>
      </c>
      <c r="I27" s="322" t="s">
        <v>94</v>
      </c>
      <c r="J27" s="311">
        <v>1</v>
      </c>
      <c r="L27" s="24"/>
      <c r="M27" s="24"/>
      <c r="N27" s="24"/>
      <c r="O27" s="24"/>
      <c r="P27" s="24"/>
      <c r="Q27" s="24"/>
      <c r="R27" s="24"/>
      <c r="S27" s="24"/>
      <c r="T27" s="24"/>
      <c r="U27" s="24"/>
      <c r="V27" s="24"/>
      <c r="W27" s="24"/>
      <c r="X27" s="24"/>
      <c r="Y27" s="24"/>
      <c r="Z27" s="24"/>
      <c r="AA27" s="24"/>
      <c r="AB27" s="24"/>
      <c r="AC27" s="24"/>
    </row>
    <row r="28" spans="1:29" ht="15.75" customHeight="1">
      <c r="A28" s="210" t="s">
        <v>44</v>
      </c>
      <c r="B28" s="210" t="s">
        <v>73</v>
      </c>
      <c r="C28" s="312" t="s">
        <v>150</v>
      </c>
      <c r="D28" s="312">
        <v>1</v>
      </c>
      <c r="E28" s="312"/>
      <c r="F28" s="312" t="s">
        <v>146</v>
      </c>
      <c r="G28" s="323" t="s">
        <v>86</v>
      </c>
      <c r="H28" s="321" t="s">
        <v>167</v>
      </c>
      <c r="I28" s="316" t="s">
        <v>94</v>
      </c>
      <c r="J28" s="314">
        <v>2</v>
      </c>
      <c r="L28" s="24"/>
      <c r="M28" s="24"/>
      <c r="N28" s="24"/>
      <c r="O28" s="24"/>
      <c r="P28" s="24"/>
      <c r="Q28" s="24"/>
      <c r="R28" s="24"/>
      <c r="S28" s="24"/>
      <c r="T28" s="24"/>
      <c r="U28" s="24"/>
      <c r="V28" s="24"/>
      <c r="W28" s="24"/>
      <c r="X28" s="24"/>
      <c r="Y28" s="24"/>
      <c r="Z28" s="24"/>
      <c r="AA28" s="24"/>
      <c r="AB28" s="24"/>
      <c r="AC28" s="24"/>
    </row>
    <row r="29" spans="1:29" ht="21" customHeight="1">
      <c r="A29" s="210" t="s">
        <v>44</v>
      </c>
      <c r="B29" s="210" t="s">
        <v>73</v>
      </c>
      <c r="C29" s="312" t="s">
        <v>151</v>
      </c>
      <c r="D29" s="312">
        <v>1</v>
      </c>
      <c r="E29" s="312"/>
      <c r="F29" s="312" t="s">
        <v>146</v>
      </c>
      <c r="G29" s="323" t="s">
        <v>86</v>
      </c>
      <c r="H29" s="308" t="s">
        <v>87</v>
      </c>
      <c r="I29" s="316" t="s">
        <v>94</v>
      </c>
      <c r="J29" s="314">
        <v>2</v>
      </c>
      <c r="K29" s="24"/>
      <c r="L29" s="24"/>
      <c r="M29" s="24"/>
      <c r="N29" s="24"/>
      <c r="O29" s="24"/>
      <c r="P29" s="24"/>
      <c r="Q29" s="24"/>
      <c r="R29" s="24"/>
      <c r="S29" s="24"/>
      <c r="T29" s="24"/>
      <c r="U29" s="24"/>
      <c r="V29" s="24"/>
      <c r="W29" s="24"/>
      <c r="X29" s="24"/>
      <c r="Y29" s="24"/>
      <c r="Z29" s="24"/>
      <c r="AA29" s="24"/>
      <c r="AB29" s="24"/>
      <c r="AC29" s="24"/>
    </row>
    <row r="30" spans="1:29" ht="13.2">
      <c r="A30" s="210" t="s">
        <v>44</v>
      </c>
      <c r="B30" s="210" t="s">
        <v>45</v>
      </c>
      <c r="C30" s="308" t="s">
        <v>56</v>
      </c>
      <c r="D30" s="308">
        <v>1</v>
      </c>
      <c r="E30" s="308"/>
      <c r="F30" s="308" t="s">
        <v>47</v>
      </c>
      <c r="G30" s="309" t="s">
        <v>48</v>
      </c>
      <c r="H30" s="321" t="s">
        <v>167</v>
      </c>
      <c r="I30" s="310" t="s">
        <v>51</v>
      </c>
      <c r="J30" s="311">
        <v>1</v>
      </c>
      <c r="K30" s="24"/>
      <c r="L30" s="24"/>
      <c r="M30" s="24"/>
      <c r="N30" s="24"/>
      <c r="O30" s="24"/>
      <c r="P30" s="24"/>
      <c r="Q30" s="24"/>
      <c r="R30" s="24"/>
      <c r="S30" s="24"/>
      <c r="T30" s="24"/>
      <c r="U30" s="24"/>
      <c r="V30" s="24"/>
      <c r="W30" s="24"/>
      <c r="X30" s="24"/>
      <c r="Y30" s="24"/>
      <c r="Z30" s="24"/>
      <c r="AA30" s="24"/>
      <c r="AB30" s="24"/>
      <c r="AC30" s="24"/>
    </row>
    <row r="31" spans="1:29" ht="13.2">
      <c r="A31" s="210" t="s">
        <v>44</v>
      </c>
      <c r="B31" s="210" t="s">
        <v>45</v>
      </c>
      <c r="C31" s="308" t="s">
        <v>46</v>
      </c>
      <c r="D31" s="308">
        <v>1</v>
      </c>
      <c r="E31" s="308"/>
      <c r="F31" s="308" t="s">
        <v>47</v>
      </c>
      <c r="G31" s="309" t="s">
        <v>48</v>
      </c>
      <c r="H31" s="308" t="s">
        <v>50</v>
      </c>
      <c r="I31" s="310" t="s">
        <v>51</v>
      </c>
      <c r="J31" s="311">
        <v>1</v>
      </c>
      <c r="K31" s="24"/>
      <c r="L31" s="24"/>
      <c r="M31" s="24"/>
      <c r="N31" s="24"/>
      <c r="O31" s="24"/>
      <c r="P31" s="24"/>
      <c r="Q31" s="24"/>
      <c r="R31" s="24"/>
      <c r="S31" s="24"/>
      <c r="T31" s="24"/>
      <c r="U31" s="24"/>
      <c r="V31" s="24"/>
      <c r="W31" s="24"/>
      <c r="X31" s="24"/>
      <c r="Y31" s="24"/>
      <c r="Z31" s="24"/>
      <c r="AA31" s="24"/>
      <c r="AB31" s="24"/>
      <c r="AC31" s="24"/>
    </row>
    <row r="32" spans="1:29" ht="15.75" customHeight="1">
      <c r="A32" s="210" t="s">
        <v>44</v>
      </c>
      <c r="B32" s="210" t="s">
        <v>45</v>
      </c>
      <c r="C32" s="312" t="s">
        <v>57</v>
      </c>
      <c r="D32" s="312">
        <v>2</v>
      </c>
      <c r="E32" s="312" t="s">
        <v>60</v>
      </c>
      <c r="F32" s="312" t="s">
        <v>61</v>
      </c>
      <c r="G32" s="313" t="s">
        <v>62</v>
      </c>
      <c r="H32" s="308" t="s">
        <v>50</v>
      </c>
      <c r="I32" s="310" t="s">
        <v>66</v>
      </c>
      <c r="J32" s="311">
        <v>1</v>
      </c>
      <c r="L32" s="24"/>
      <c r="M32" s="24"/>
      <c r="N32" s="24"/>
      <c r="O32" s="24"/>
      <c r="P32" s="24"/>
      <c r="Q32" s="24"/>
      <c r="R32" s="24"/>
      <c r="S32" s="24"/>
      <c r="T32" s="24"/>
      <c r="U32" s="24"/>
      <c r="V32" s="24"/>
      <c r="W32" s="24"/>
      <c r="X32" s="24"/>
      <c r="Y32" s="24"/>
      <c r="Z32" s="24"/>
      <c r="AA32" s="24"/>
      <c r="AB32" s="24"/>
      <c r="AC32" s="24"/>
    </row>
    <row r="33" spans="1:29" ht="15.75" customHeight="1">
      <c r="A33" s="210" t="s">
        <v>44</v>
      </c>
      <c r="B33" s="210" t="s">
        <v>45</v>
      </c>
      <c r="C33" s="308" t="s">
        <v>68</v>
      </c>
      <c r="D33" s="308">
        <v>2</v>
      </c>
      <c r="E33" s="312" t="s">
        <v>69</v>
      </c>
      <c r="F33" s="308" t="s">
        <v>61</v>
      </c>
      <c r="G33" s="313" t="s">
        <v>62</v>
      </c>
      <c r="H33" s="308" t="s">
        <v>50</v>
      </c>
      <c r="I33" s="310" t="s">
        <v>66</v>
      </c>
      <c r="J33" s="314">
        <v>2</v>
      </c>
      <c r="L33" s="24"/>
      <c r="M33" s="24"/>
      <c r="N33" s="24"/>
      <c r="O33" s="24"/>
      <c r="P33" s="24"/>
      <c r="Q33" s="24"/>
      <c r="R33" s="24"/>
      <c r="S33" s="24"/>
      <c r="T33" s="24"/>
      <c r="U33" s="24"/>
      <c r="V33" s="24"/>
      <c r="W33" s="24"/>
      <c r="X33" s="24"/>
      <c r="Y33" s="24"/>
      <c r="Z33" s="24"/>
      <c r="AA33" s="24"/>
      <c r="AB33" s="24"/>
      <c r="AC33" s="24"/>
    </row>
    <row r="34" spans="1:29" ht="15.75" customHeight="1">
      <c r="A34" s="210" t="s">
        <v>44</v>
      </c>
      <c r="B34" s="210" t="s">
        <v>73</v>
      </c>
      <c r="C34" s="308" t="s">
        <v>90</v>
      </c>
      <c r="D34" s="308">
        <v>2</v>
      </c>
      <c r="E34" s="312" t="s">
        <v>91</v>
      </c>
      <c r="F34" s="308" t="s">
        <v>92</v>
      </c>
      <c r="G34" s="315" t="s">
        <v>93</v>
      </c>
      <c r="H34" s="308" t="s">
        <v>50</v>
      </c>
      <c r="I34" s="316" t="s">
        <v>94</v>
      </c>
      <c r="J34" s="317">
        <v>3</v>
      </c>
      <c r="L34" s="24"/>
      <c r="M34" s="24"/>
      <c r="N34" s="24"/>
      <c r="O34" s="24"/>
      <c r="P34" s="24"/>
      <c r="Q34" s="24"/>
      <c r="R34" s="24"/>
      <c r="S34" s="24"/>
      <c r="T34" s="24"/>
      <c r="U34" s="24"/>
      <c r="V34" s="24"/>
      <c r="W34" s="24"/>
      <c r="X34" s="24"/>
      <c r="Y34" s="24"/>
      <c r="Z34" s="24"/>
      <c r="AA34" s="24"/>
      <c r="AB34" s="24"/>
      <c r="AC34" s="24"/>
    </row>
    <row r="35" spans="1:29" ht="15.75" customHeight="1">
      <c r="A35" s="210" t="s">
        <v>44</v>
      </c>
      <c r="B35" s="210" t="s">
        <v>73</v>
      </c>
      <c r="C35" s="308" t="s">
        <v>95</v>
      </c>
      <c r="D35" s="308">
        <v>2</v>
      </c>
      <c r="E35" s="312" t="s">
        <v>96</v>
      </c>
      <c r="F35" s="308" t="s">
        <v>92</v>
      </c>
      <c r="G35" s="315" t="s">
        <v>93</v>
      </c>
      <c r="H35" s="308" t="s">
        <v>50</v>
      </c>
      <c r="I35" s="316" t="s">
        <v>94</v>
      </c>
      <c r="J35" s="317">
        <v>3</v>
      </c>
      <c r="K35" s="24"/>
      <c r="L35" s="24"/>
      <c r="M35" s="24"/>
      <c r="N35" s="24"/>
      <c r="O35" s="24"/>
      <c r="P35" s="24"/>
      <c r="Q35" s="24"/>
      <c r="R35" s="24"/>
      <c r="S35" s="24"/>
      <c r="T35" s="24"/>
      <c r="U35" s="24"/>
      <c r="V35" s="24"/>
      <c r="W35" s="24"/>
      <c r="X35" s="24"/>
      <c r="Y35" s="24"/>
      <c r="Z35" s="24"/>
      <c r="AA35" s="24"/>
      <c r="AB35" s="24"/>
      <c r="AC35" s="24"/>
    </row>
    <row r="36" spans="1:29" ht="15.75" customHeight="1">
      <c r="A36" s="210" t="s">
        <v>44</v>
      </c>
      <c r="B36" s="210" t="s">
        <v>73</v>
      </c>
      <c r="C36" s="308" t="s">
        <v>101</v>
      </c>
      <c r="D36" s="308">
        <v>2</v>
      </c>
      <c r="E36" s="312" t="s">
        <v>102</v>
      </c>
      <c r="F36" s="308" t="s">
        <v>92</v>
      </c>
      <c r="G36" s="315" t="s">
        <v>93</v>
      </c>
      <c r="H36" s="308" t="s">
        <v>50</v>
      </c>
      <c r="I36" s="318" t="s">
        <v>103</v>
      </c>
      <c r="J36" s="317">
        <v>3</v>
      </c>
      <c r="K36" s="24"/>
      <c r="L36" s="24"/>
      <c r="M36" s="24"/>
      <c r="N36" s="24"/>
      <c r="O36" s="24"/>
      <c r="P36" s="24"/>
      <c r="Q36" s="24"/>
      <c r="R36" s="24"/>
      <c r="S36" s="24"/>
      <c r="T36" s="24"/>
      <c r="U36" s="24"/>
      <c r="V36" s="24"/>
      <c r="W36" s="24"/>
      <c r="X36" s="24"/>
      <c r="Y36" s="24"/>
      <c r="Z36" s="24"/>
      <c r="AA36" s="24"/>
      <c r="AB36" s="24"/>
      <c r="AC36" s="24"/>
    </row>
    <row r="37" spans="1:29" ht="15.75" customHeight="1">
      <c r="A37" s="210" t="s">
        <v>44</v>
      </c>
      <c r="B37" s="210" t="s">
        <v>73</v>
      </c>
      <c r="C37" s="308" t="s">
        <v>105</v>
      </c>
      <c r="D37" s="308">
        <v>2</v>
      </c>
      <c r="E37" s="312" t="s">
        <v>106</v>
      </c>
      <c r="F37" s="308" t="s">
        <v>92</v>
      </c>
      <c r="G37" s="315" t="s">
        <v>93</v>
      </c>
      <c r="H37" s="308" t="s">
        <v>50</v>
      </c>
      <c r="I37" s="318" t="s">
        <v>103</v>
      </c>
      <c r="J37" s="317">
        <v>3</v>
      </c>
      <c r="K37" s="24"/>
      <c r="L37" s="24"/>
      <c r="M37" s="24"/>
      <c r="N37" s="24"/>
      <c r="O37" s="24"/>
      <c r="P37" s="24"/>
      <c r="Q37" s="24"/>
      <c r="R37" s="24"/>
      <c r="S37" s="24"/>
      <c r="T37" s="24"/>
      <c r="U37" s="24"/>
      <c r="V37" s="24"/>
      <c r="W37" s="24"/>
      <c r="X37" s="24"/>
      <c r="Y37" s="24"/>
      <c r="Z37" s="24"/>
      <c r="AA37" s="24"/>
      <c r="AB37" s="24"/>
      <c r="AC37" s="24"/>
    </row>
    <row r="38" spans="1:29" ht="15.75" customHeight="1">
      <c r="A38" s="210" t="s">
        <v>44</v>
      </c>
      <c r="B38" s="210" t="s">
        <v>73</v>
      </c>
      <c r="C38" s="312" t="s">
        <v>108</v>
      </c>
      <c r="D38" s="312">
        <v>12</v>
      </c>
      <c r="E38" s="312"/>
      <c r="F38" s="312" t="s">
        <v>47</v>
      </c>
      <c r="G38" s="315" t="s">
        <v>93</v>
      </c>
      <c r="H38" s="308" t="s">
        <v>50</v>
      </c>
      <c r="I38" s="316" t="s">
        <v>59</v>
      </c>
      <c r="J38" s="317">
        <v>3</v>
      </c>
      <c r="K38" s="24"/>
      <c r="L38" s="24"/>
      <c r="M38" s="24"/>
      <c r="N38" s="24"/>
      <c r="O38" s="24"/>
      <c r="P38" s="24"/>
      <c r="Q38" s="24"/>
      <c r="R38" s="24"/>
      <c r="S38" s="24"/>
      <c r="T38" s="24"/>
      <c r="U38" s="24"/>
      <c r="V38" s="24"/>
      <c r="W38" s="24"/>
      <c r="X38" s="24"/>
      <c r="Y38" s="24"/>
      <c r="Z38" s="24"/>
      <c r="AA38" s="24"/>
      <c r="AB38" s="24"/>
      <c r="AC38" s="24"/>
    </row>
    <row r="39" spans="1:29" ht="15.75" customHeight="1">
      <c r="A39" s="210" t="s">
        <v>44</v>
      </c>
      <c r="B39" s="210" t="s">
        <v>73</v>
      </c>
      <c r="C39" s="308" t="s">
        <v>134</v>
      </c>
      <c r="D39" s="308">
        <v>2</v>
      </c>
      <c r="E39" s="312" t="s">
        <v>135</v>
      </c>
      <c r="F39" s="308" t="s">
        <v>47</v>
      </c>
      <c r="G39" s="319" t="s">
        <v>120</v>
      </c>
      <c r="H39" s="308" t="s">
        <v>50</v>
      </c>
      <c r="I39" s="316" t="s">
        <v>94</v>
      </c>
      <c r="J39" s="314">
        <v>2</v>
      </c>
      <c r="K39" s="24"/>
      <c r="L39" s="24"/>
      <c r="M39" s="24"/>
      <c r="N39" s="24"/>
      <c r="O39" s="24"/>
      <c r="P39" s="24"/>
      <c r="Q39" s="24"/>
      <c r="R39" s="24"/>
      <c r="S39" s="24"/>
      <c r="T39" s="24"/>
      <c r="U39" s="24"/>
      <c r="V39" s="24"/>
      <c r="W39" s="24"/>
      <c r="X39" s="24"/>
      <c r="Y39" s="24"/>
      <c r="Z39" s="24"/>
      <c r="AA39" s="24"/>
      <c r="AB39" s="24"/>
      <c r="AC39" s="24"/>
    </row>
    <row r="40" spans="1:29" ht="13.2">
      <c r="A40" s="210" t="s">
        <v>44</v>
      </c>
      <c r="B40" s="210" t="s">
        <v>73</v>
      </c>
      <c r="C40" s="312" t="s">
        <v>137</v>
      </c>
      <c r="D40" s="312">
        <v>2</v>
      </c>
      <c r="E40" s="312"/>
      <c r="F40" s="312" t="s">
        <v>61</v>
      </c>
      <c r="G40" s="319" t="s">
        <v>138</v>
      </c>
      <c r="H40" s="308" t="s">
        <v>50</v>
      </c>
      <c r="I40" s="310" t="s">
        <v>66</v>
      </c>
      <c r="J40" s="314">
        <v>2</v>
      </c>
      <c r="K40" s="24"/>
      <c r="L40" s="24"/>
      <c r="M40" s="24"/>
      <c r="N40" s="24"/>
      <c r="O40" s="24"/>
      <c r="P40" s="24"/>
      <c r="Q40" s="24"/>
      <c r="R40" s="24"/>
      <c r="S40" s="24"/>
      <c r="T40" s="24"/>
      <c r="U40" s="24"/>
      <c r="V40" s="24"/>
      <c r="W40" s="24"/>
      <c r="X40" s="24"/>
      <c r="Y40" s="24"/>
      <c r="Z40" s="24"/>
      <c r="AA40" s="24"/>
      <c r="AB40" s="24"/>
      <c r="AC40" s="24"/>
    </row>
    <row r="41" spans="1:29" ht="13.2">
      <c r="A41" s="210" t="s">
        <v>44</v>
      </c>
      <c r="B41" s="210" t="s">
        <v>73</v>
      </c>
      <c r="C41" s="312" t="s">
        <v>139</v>
      </c>
      <c r="D41" s="312">
        <v>2</v>
      </c>
      <c r="E41" s="312"/>
      <c r="F41" s="312" t="s">
        <v>61</v>
      </c>
      <c r="G41" s="319" t="s">
        <v>138</v>
      </c>
      <c r="H41" s="308" t="s">
        <v>50</v>
      </c>
      <c r="I41" s="310" t="s">
        <v>66</v>
      </c>
      <c r="J41" s="314">
        <v>2</v>
      </c>
      <c r="L41" s="24"/>
      <c r="M41" s="24"/>
      <c r="N41" s="24"/>
      <c r="O41" s="24"/>
      <c r="P41" s="24"/>
      <c r="Q41" s="24"/>
      <c r="R41" s="24"/>
      <c r="S41" s="24"/>
      <c r="T41" s="24"/>
      <c r="U41" s="24"/>
      <c r="V41" s="24"/>
      <c r="W41" s="24"/>
      <c r="X41" s="24"/>
      <c r="Y41" s="24"/>
      <c r="Z41" s="24"/>
      <c r="AA41" s="24"/>
      <c r="AB41" s="24"/>
      <c r="AC41" s="24"/>
    </row>
    <row r="42" spans="1:29" ht="13.2">
      <c r="A42" s="210" t="s">
        <v>104</v>
      </c>
      <c r="B42" s="210" t="s">
        <v>45</v>
      </c>
      <c r="C42" s="308" t="s">
        <v>357</v>
      </c>
      <c r="D42" s="308">
        <v>1</v>
      </c>
      <c r="E42" s="308"/>
      <c r="F42" s="308" t="s">
        <v>99</v>
      </c>
      <c r="G42" s="309" t="s">
        <v>48</v>
      </c>
      <c r="H42" s="308" t="s">
        <v>50</v>
      </c>
      <c r="I42" s="320" t="s">
        <v>51</v>
      </c>
      <c r="J42" s="308"/>
      <c r="K42" s="24"/>
      <c r="L42" s="24"/>
      <c r="M42" s="24"/>
      <c r="N42" s="24"/>
      <c r="O42" s="24"/>
      <c r="P42" s="24"/>
      <c r="Q42" s="24"/>
      <c r="R42" s="24"/>
      <c r="S42" s="24"/>
      <c r="T42" s="24"/>
      <c r="U42" s="24"/>
      <c r="V42" s="24"/>
      <c r="W42" s="24"/>
      <c r="X42" s="24"/>
      <c r="Y42" s="24"/>
      <c r="Z42" s="24"/>
      <c r="AA42" s="24"/>
      <c r="AB42" s="24"/>
      <c r="AC42" s="24"/>
    </row>
    <row r="43" spans="1:29" ht="13.2">
      <c r="A43" s="210" t="s">
        <v>44</v>
      </c>
      <c r="B43" s="210" t="s">
        <v>45</v>
      </c>
      <c r="C43" s="308" t="s">
        <v>85</v>
      </c>
      <c r="D43" s="308">
        <v>1</v>
      </c>
      <c r="E43" s="312"/>
      <c r="F43" s="308" t="s">
        <v>61</v>
      </c>
      <c r="G43" s="210" t="s">
        <v>86</v>
      </c>
      <c r="H43" s="308" t="s">
        <v>87</v>
      </c>
      <c r="I43" s="316" t="s">
        <v>59</v>
      </c>
      <c r="J43" s="317"/>
      <c r="K43" s="24"/>
      <c r="L43" s="24"/>
      <c r="M43" s="24"/>
      <c r="N43" s="24"/>
      <c r="O43" s="24"/>
      <c r="P43" s="24"/>
      <c r="Q43" s="24"/>
      <c r="R43" s="24"/>
      <c r="S43" s="24"/>
      <c r="T43" s="24"/>
      <c r="U43" s="24"/>
      <c r="V43" s="24"/>
      <c r="W43" s="24"/>
      <c r="X43" s="24"/>
      <c r="Y43" s="24"/>
      <c r="Z43" s="24"/>
      <c r="AA43" s="24"/>
      <c r="AB43" s="24"/>
      <c r="AC43" s="24"/>
    </row>
    <row r="44" spans="1:29" ht="13.2">
      <c r="A44" s="210" t="s">
        <v>44</v>
      </c>
      <c r="B44" s="210" t="s">
        <v>45</v>
      </c>
      <c r="C44" s="308" t="s">
        <v>88</v>
      </c>
      <c r="D44" s="308">
        <v>1</v>
      </c>
      <c r="E44" s="312"/>
      <c r="F44" s="308" t="s">
        <v>61</v>
      </c>
      <c r="G44" s="210" t="s">
        <v>86</v>
      </c>
      <c r="H44" s="308" t="s">
        <v>87</v>
      </c>
      <c r="I44" s="316" t="s">
        <v>59</v>
      </c>
      <c r="J44" s="317"/>
      <c r="K44" s="24"/>
      <c r="L44" s="24"/>
      <c r="M44" s="24"/>
      <c r="N44" s="24"/>
      <c r="O44" s="24"/>
      <c r="P44" s="24"/>
      <c r="Q44" s="24"/>
      <c r="R44" s="24"/>
      <c r="S44" s="24"/>
      <c r="T44" s="24"/>
      <c r="U44" s="24"/>
      <c r="V44" s="24"/>
      <c r="W44" s="24"/>
      <c r="X44" s="24"/>
      <c r="Y44" s="24"/>
      <c r="Z44" s="24"/>
      <c r="AA44" s="24"/>
      <c r="AB44" s="24"/>
      <c r="AC44" s="24"/>
    </row>
    <row r="45" spans="1:29" ht="13.2">
      <c r="A45" s="138" t="s">
        <v>104</v>
      </c>
      <c r="B45" s="107"/>
      <c r="C45" s="107" t="s">
        <v>160</v>
      </c>
      <c r="D45" s="107">
        <v>1</v>
      </c>
      <c r="E45" s="107"/>
      <c r="F45" s="107" t="s">
        <v>99</v>
      </c>
      <c r="G45" s="107"/>
      <c r="H45" s="107" t="s">
        <v>297</v>
      </c>
      <c r="I45" s="204" t="s">
        <v>161</v>
      </c>
      <c r="J45" s="107"/>
      <c r="K45" s="24"/>
      <c r="L45" s="24"/>
      <c r="M45" s="24"/>
      <c r="N45" s="24"/>
      <c r="O45" s="24"/>
      <c r="P45" s="24"/>
      <c r="Q45" s="24"/>
      <c r="R45" s="24"/>
      <c r="S45" s="24"/>
      <c r="T45" s="24"/>
      <c r="U45" s="24"/>
      <c r="V45" s="24"/>
      <c r="W45" s="24"/>
      <c r="X45" s="24"/>
      <c r="Y45" s="24"/>
      <c r="Z45" s="24"/>
      <c r="AA45" s="24"/>
      <c r="AB45" s="24"/>
      <c r="AC45" s="24"/>
    </row>
    <row r="46" spans="1:29" ht="13.2">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3.2">
      <c r="K47" s="24"/>
      <c r="L47" s="24"/>
      <c r="M47" s="24"/>
      <c r="N47" s="24"/>
      <c r="O47" s="24"/>
      <c r="P47" s="24"/>
      <c r="Q47" s="24"/>
      <c r="R47" s="24"/>
      <c r="S47" s="24"/>
      <c r="T47" s="24"/>
      <c r="U47" s="24"/>
      <c r="V47" s="24"/>
      <c r="W47" s="24"/>
      <c r="X47" s="24"/>
      <c r="Y47" s="24"/>
      <c r="Z47" s="24"/>
      <c r="AA47" s="24"/>
      <c r="AB47" s="24"/>
      <c r="AC47" s="24"/>
    </row>
    <row r="48" spans="1:29" ht="13.2">
      <c r="A48" s="212" t="s">
        <v>358</v>
      </c>
      <c r="B48" s="205" t="s">
        <v>169</v>
      </c>
      <c r="C48" s="206" t="s">
        <v>171</v>
      </c>
      <c r="K48" s="231" t="s">
        <v>364</v>
      </c>
      <c r="L48" s="24"/>
      <c r="M48" s="24"/>
      <c r="N48" s="24"/>
      <c r="O48" s="24"/>
      <c r="P48" s="24"/>
      <c r="Q48" s="24"/>
      <c r="R48" s="24"/>
      <c r="S48" s="24"/>
      <c r="T48" s="24"/>
      <c r="U48" s="24"/>
      <c r="V48" s="24"/>
      <c r="W48" s="24"/>
      <c r="X48" s="24"/>
      <c r="Y48" s="24"/>
      <c r="Z48" s="24"/>
      <c r="AA48" s="24"/>
      <c r="AB48" s="24"/>
      <c r="AC48" s="24"/>
    </row>
    <row r="49" spans="1:29" ht="13.2">
      <c r="K49" s="231" t="s">
        <v>364</v>
      </c>
      <c r="L49" s="24"/>
      <c r="M49" s="24"/>
      <c r="N49" s="24"/>
      <c r="O49" s="24"/>
      <c r="P49" s="24"/>
      <c r="Q49" s="24"/>
      <c r="R49" s="24"/>
      <c r="S49" s="24"/>
      <c r="T49" s="24"/>
      <c r="U49" s="24"/>
      <c r="V49" s="24"/>
      <c r="W49" s="24"/>
      <c r="X49" s="24"/>
      <c r="Y49" s="24"/>
      <c r="Z49" s="24"/>
      <c r="AA49" s="24"/>
      <c r="AB49" s="24"/>
      <c r="AC49" s="24"/>
    </row>
    <row r="50" spans="1:29" ht="13.2">
      <c r="K50" s="231" t="s">
        <v>364</v>
      </c>
      <c r="L50" s="24"/>
      <c r="M50" s="24"/>
      <c r="N50" s="24"/>
      <c r="O50" s="24"/>
      <c r="P50" s="24"/>
      <c r="Q50" s="24"/>
      <c r="R50" s="24"/>
      <c r="S50" s="24"/>
      <c r="T50" s="24"/>
      <c r="U50" s="24"/>
      <c r="V50" s="24"/>
      <c r="W50" s="24"/>
      <c r="X50" s="24"/>
      <c r="Y50" s="24"/>
      <c r="Z50" s="24"/>
      <c r="AA50" s="24"/>
      <c r="AB50" s="24"/>
      <c r="AC50" s="24"/>
    </row>
    <row r="51" spans="1:29" ht="13.2">
      <c r="K51" s="24"/>
      <c r="L51" s="24"/>
      <c r="M51" s="24"/>
      <c r="N51" s="24"/>
      <c r="O51" s="24"/>
      <c r="P51" s="24"/>
      <c r="Q51" s="24"/>
      <c r="R51" s="24"/>
      <c r="S51" s="24"/>
      <c r="T51" s="24"/>
      <c r="U51" s="24"/>
      <c r="V51" s="24"/>
      <c r="W51" s="24"/>
      <c r="X51" s="24"/>
      <c r="Y51" s="24"/>
      <c r="Z51" s="24"/>
      <c r="AA51" s="24"/>
      <c r="AB51" s="24"/>
      <c r="AC51" s="24"/>
    </row>
    <row r="52" spans="1:29" ht="13.2">
      <c r="K52" s="24"/>
      <c r="L52" s="24"/>
      <c r="M52" s="24"/>
      <c r="N52" s="24"/>
      <c r="O52" s="24"/>
      <c r="P52" s="24"/>
      <c r="Q52" s="24"/>
      <c r="R52" s="24"/>
      <c r="S52" s="24"/>
      <c r="T52" s="24"/>
      <c r="U52" s="24"/>
      <c r="V52" s="24"/>
      <c r="W52" s="24"/>
      <c r="X52" s="24"/>
      <c r="Y52" s="24"/>
      <c r="Z52" s="24"/>
      <c r="AA52" s="24"/>
      <c r="AB52" s="24"/>
      <c r="AC52" s="24"/>
    </row>
    <row r="53" spans="1:29" ht="13.2">
      <c r="K53" s="24"/>
      <c r="L53" s="24"/>
      <c r="M53" s="24"/>
      <c r="N53" s="24"/>
      <c r="O53" s="24"/>
      <c r="P53" s="24"/>
      <c r="Q53" s="24"/>
      <c r="R53" s="24"/>
      <c r="S53" s="24"/>
      <c r="T53" s="24"/>
      <c r="U53" s="24"/>
      <c r="V53" s="24"/>
      <c r="W53" s="24"/>
      <c r="X53" s="24"/>
      <c r="Y53" s="24"/>
      <c r="Z53" s="24"/>
      <c r="AA53" s="24"/>
      <c r="AB53" s="24"/>
      <c r="AC53" s="24"/>
    </row>
    <row r="54" spans="1:29" ht="13.2">
      <c r="K54" s="24"/>
      <c r="L54" s="24"/>
      <c r="M54" s="24"/>
      <c r="N54" s="24"/>
      <c r="O54" s="24"/>
      <c r="P54" s="24"/>
      <c r="Q54" s="24"/>
      <c r="R54" s="24"/>
      <c r="S54" s="24"/>
      <c r="T54" s="24"/>
      <c r="U54" s="24"/>
      <c r="V54" s="24"/>
      <c r="W54" s="24"/>
      <c r="X54" s="24"/>
      <c r="Y54" s="24"/>
      <c r="Z54" s="24"/>
      <c r="AA54" s="24"/>
      <c r="AB54" s="24"/>
      <c r="AC54" s="24"/>
    </row>
    <row r="55" spans="1:29" ht="13.2">
      <c r="L55" s="24"/>
      <c r="M55" s="24"/>
      <c r="N55" s="24"/>
      <c r="O55" s="24"/>
      <c r="P55" s="24"/>
      <c r="Q55" s="24"/>
      <c r="R55" s="24"/>
      <c r="S55" s="24"/>
      <c r="T55" s="24"/>
      <c r="U55" s="24"/>
      <c r="V55" s="24"/>
      <c r="W55" s="24"/>
      <c r="X55" s="24"/>
      <c r="Y55" s="24"/>
      <c r="Z55" s="24"/>
      <c r="AA55" s="24"/>
      <c r="AB55" s="24"/>
      <c r="AC55" s="24"/>
    </row>
    <row r="56" spans="1:29" ht="13.2">
      <c r="L56" s="24"/>
      <c r="M56" s="24"/>
      <c r="N56" s="24"/>
      <c r="O56" s="24"/>
      <c r="P56" s="24"/>
      <c r="Q56" s="24"/>
      <c r="R56" s="24"/>
      <c r="S56" s="24"/>
      <c r="T56" s="24"/>
      <c r="U56" s="24"/>
      <c r="V56" s="24"/>
      <c r="W56" s="24"/>
      <c r="X56" s="24"/>
      <c r="Y56" s="24"/>
      <c r="Z56" s="24"/>
      <c r="AA56" s="24"/>
      <c r="AB56" s="24"/>
      <c r="AC56" s="24"/>
    </row>
    <row r="57" spans="1:29" ht="13.2">
      <c r="L57" s="24"/>
      <c r="M57" s="24"/>
      <c r="N57" s="24"/>
      <c r="O57" s="24"/>
      <c r="P57" s="24"/>
      <c r="Q57" s="24"/>
      <c r="R57" s="24"/>
      <c r="S57" s="24"/>
      <c r="T57" s="24"/>
      <c r="U57" s="24"/>
      <c r="V57" s="24"/>
      <c r="W57" s="24"/>
      <c r="X57" s="24"/>
      <c r="Y57" s="24"/>
      <c r="Z57" s="24"/>
      <c r="AA57" s="24"/>
      <c r="AB57" s="24"/>
      <c r="AC57" s="24"/>
    </row>
    <row r="58" spans="1:29" ht="13.2">
      <c r="K58" s="24"/>
      <c r="L58" s="24"/>
      <c r="M58" s="24"/>
      <c r="N58" s="24"/>
      <c r="O58" s="24"/>
      <c r="P58" s="24"/>
      <c r="Q58" s="24"/>
      <c r="R58" s="24"/>
      <c r="S58" s="24"/>
      <c r="T58" s="24"/>
      <c r="U58" s="24"/>
      <c r="V58" s="24"/>
      <c r="W58" s="24"/>
      <c r="X58" s="24"/>
      <c r="Y58" s="24"/>
      <c r="Z58" s="24"/>
      <c r="AA58" s="24"/>
      <c r="AB58" s="24"/>
      <c r="AC58" s="24"/>
    </row>
    <row r="59" spans="1:29" ht="13.2">
      <c r="K59" s="24"/>
      <c r="L59" s="24"/>
      <c r="M59" s="24"/>
      <c r="N59" s="24"/>
      <c r="O59" s="24"/>
      <c r="P59" s="24"/>
      <c r="Q59" s="24"/>
      <c r="R59" s="24"/>
      <c r="S59" s="24"/>
      <c r="T59" s="24"/>
      <c r="U59" s="24"/>
      <c r="V59" s="24"/>
      <c r="W59" s="24"/>
      <c r="X59" s="24"/>
      <c r="Y59" s="24"/>
      <c r="Z59" s="24"/>
      <c r="AA59" s="24"/>
      <c r="AB59" s="24"/>
      <c r="AC59" s="24"/>
    </row>
    <row r="60" spans="1:29" ht="13.2">
      <c r="L60" s="24"/>
      <c r="M60" s="24"/>
      <c r="N60" s="24"/>
      <c r="O60" s="24"/>
      <c r="P60" s="24"/>
      <c r="Q60" s="24"/>
      <c r="R60" s="24"/>
      <c r="S60" s="24"/>
      <c r="T60" s="24"/>
      <c r="U60" s="24"/>
      <c r="V60" s="24"/>
      <c r="W60" s="24"/>
      <c r="X60" s="24"/>
      <c r="Y60" s="24"/>
      <c r="Z60" s="24"/>
      <c r="AA60" s="24"/>
      <c r="AB60" s="24"/>
      <c r="AC60" s="24"/>
    </row>
    <row r="61" spans="1:29" ht="13.2">
      <c r="L61" s="24"/>
      <c r="M61" s="24"/>
      <c r="N61" s="24"/>
      <c r="O61" s="24"/>
      <c r="P61" s="24"/>
      <c r="Q61" s="24"/>
      <c r="R61" s="24"/>
      <c r="S61" s="24"/>
      <c r="T61" s="24"/>
      <c r="U61" s="24"/>
      <c r="V61" s="24"/>
      <c r="W61" s="24"/>
      <c r="X61" s="24"/>
      <c r="Y61" s="24"/>
      <c r="Z61" s="24"/>
      <c r="AA61" s="24"/>
      <c r="AB61" s="24"/>
      <c r="AC61" s="24"/>
    </row>
    <row r="62" spans="1:29" ht="13.2">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3.2">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3.2">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3.2">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3.2">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3.2">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3.2">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3.2">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3.2">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3.2">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3.2">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3.2">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3.2">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3.2">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3.2">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3.2">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3.2">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3.2">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3.2">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3.2">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3.2">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3.2">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3.2">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3.2">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3.2">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3.2">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3.2">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3.2">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3.2">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3.2">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3.2">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3.2">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3.2">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3.2">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3.2">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3.2">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3.2">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3.2">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3.2">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3.2">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3.2">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3.2">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3.2">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3.2">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3.2">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3.2">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3.2">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3.2">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3.2">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3.2">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3.2">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3.2">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3.2">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3.2">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3.2">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3.2">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3.2">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3.2">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3.2">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3.2">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3.2">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3.2">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3.2">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3.2">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3.2">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3.2">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3.2">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3.2">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3.2">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3.2">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3.2">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3.2">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3.2">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3.2">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3.2">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3.2">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3.2">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3.2">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3.2">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3.2">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3.2">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3.2">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3.2">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3.2">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3.2">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3.2">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3.2">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3.2">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3.2">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3.2">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3.2">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3.2">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3.2">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3.2">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3.2">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3.2">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3.2">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3.2">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3.2">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3.2">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3.2">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3.2">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3.2">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3.2">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3.2">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3.2">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3.2">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3.2">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3.2">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3.2">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3.2">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3.2">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3.2">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3.2">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3.2">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3.2">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3.2">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3.2">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3.2">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3.2">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3.2">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3.2">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3.2">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3.2">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3.2">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3.2">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3.2">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3.2">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3.2">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3.2">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3.2">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3.2">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3.2">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3.2">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3.2">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3.2">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3.2">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3.2">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3.2">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3.2">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3.2">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3.2">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3.2">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3.2">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3.2">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3.2">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3.2">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3.2">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3.2">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3.2">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3.2">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3.2">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3.2">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3.2">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3.2">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3.2">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3.2">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3.2">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3.2">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3.2">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3.2">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3.2">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3.2">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3.2">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3.2">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3.2">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3.2">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3.2">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3.2">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3.2">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3.2">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3.2">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3.2">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3.2">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3.2">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3.2">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3.2">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3.2">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3.2">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3.2">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3.2">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3.2">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3.2">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3.2">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3.2">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3.2">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3.2">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3.2">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3.2">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3.2">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3.2">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3.2">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3.2">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3.2">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3.2">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3.2">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3.2">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3.2">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3.2">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3.2">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3.2">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3.2">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3.2">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3.2">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3.2">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3.2">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3.2">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3.2">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3.2">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3.2">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3.2">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3.2">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3.2">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3.2">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3.2">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3.2">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3.2">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3.2">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3.2">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3.2">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3.2">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3.2">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3.2">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3.2">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3.2">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3.2">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3.2">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3.2">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3.2">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3.2">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3.2">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3.2">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3.2">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3.2">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3.2">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3.2">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3.2">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3.2">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3.2">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3.2">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3.2">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3.2">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3.2">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3.2">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3.2">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3.2">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3.2">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3.2">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3.2">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3.2">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3.2">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3.2">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3.2">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3.2">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3.2">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3.2">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3.2">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3.2">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3.2">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3.2">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3.2">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3.2">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3.2">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3.2">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3.2">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3.2">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3.2">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3.2">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3.2">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3.2">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3.2">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3.2">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3.2">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3.2">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3.2">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3.2">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3.2">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3.2">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3.2">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3.2">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3.2">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3.2">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3.2">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3.2">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3.2">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3.2">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3.2">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3.2">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3.2">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3.2">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3.2">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3.2">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3.2">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3.2">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3.2">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3.2">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3.2">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3.2">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3.2">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3.2">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3.2">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3.2">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3.2">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3.2">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3.2">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3.2">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3.2">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3.2">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3.2">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3.2">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3.2">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3.2">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3.2">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3.2">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3.2">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3.2">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3.2">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3.2">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3.2">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3.2">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3.2">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3.2">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3.2">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3.2">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3.2">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3.2">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3.2">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3.2">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3.2">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3.2">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3.2">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3.2">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3.2">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3.2">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3.2">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3.2">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3.2">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3.2">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3.2">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3.2">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3.2">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3.2">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3.2">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3.2">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3.2">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3.2">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3.2">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3.2">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3.2">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3.2">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3.2">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3.2">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3.2">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3.2">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3.2">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3.2">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3.2">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3.2">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3.2">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3.2">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3.2">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3.2">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3.2">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3.2">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3.2">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3.2">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3.2">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3.2">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3.2">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3.2">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3.2">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3.2">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3.2">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3.2">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3.2">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3.2">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3.2">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3.2">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3.2">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3.2">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3.2">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3.2">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3.2">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3.2">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3.2">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3.2">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3.2">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3.2">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3.2">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3.2">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3.2">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3.2">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3.2">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3.2">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3.2">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3.2">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3.2">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3.2">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3.2">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3.2">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3.2">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3.2">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3.2">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3.2">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3.2">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3.2">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3.2">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3.2">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3.2">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3.2">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3.2">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3.2">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3.2">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3.2">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3.2">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3.2">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3.2">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3.2">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3.2">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3.2">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3.2">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3.2">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3.2">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3.2">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3.2">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3.2">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3.2">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3.2">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3.2">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3.2">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3.2">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3.2">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3.2">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3.2">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3.2">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3.2">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3.2">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3.2">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3.2">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3.2">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3.2">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3.2">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3.2">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3.2">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3.2">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3.2">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3.2">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3.2">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3.2">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3.2">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3.2">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3.2">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3.2">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3.2">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3.2">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3.2">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3.2">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3.2">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3.2">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3.2">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3.2">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3.2">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3.2">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3.2">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3.2">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3.2">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3.2">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3.2">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3.2">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3.2">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3.2">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3.2">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3.2">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3.2">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3.2">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3.2">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3.2">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3.2">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3.2">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3.2">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3.2">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3.2">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3.2">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3.2">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3.2">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3.2">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3.2">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3.2">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3.2">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3.2">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3.2">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3.2">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3.2">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3.2">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3.2">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3.2">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3.2">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3.2">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3.2">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3.2">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3.2">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3.2">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3.2">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3.2">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3.2">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3.2">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3.2">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3.2">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3.2">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3.2">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3.2">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3.2">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3.2">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3.2">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3.2">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3.2">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3.2">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3.2">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3.2">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3.2">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3.2">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3.2">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3.2">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3.2">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3.2">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3.2">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3.2">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3.2">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3.2">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3.2">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3.2">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3.2">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3.2">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3.2">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3.2">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3.2">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3.2">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3.2">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3.2">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3.2">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3.2">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3.2">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3.2">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3.2">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3.2">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3.2">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3.2">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3.2">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3.2">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3.2">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3.2">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3.2">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3.2">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3.2">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3.2">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3.2">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3.2">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3.2">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3.2">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3.2">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3.2">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3.2">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3.2">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3.2">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3.2">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3.2">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3.2">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3.2">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3.2">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3.2">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3.2">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3.2">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3.2">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3.2">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3.2">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3.2">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3.2">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3.2">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3.2">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3.2">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3.2">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3.2">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3.2">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3.2">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3.2">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3.2">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3.2">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3.2">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3.2">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3.2">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3.2">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3.2">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3.2">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3.2">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3.2">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3.2">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3.2">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3.2">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3.2">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3.2">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3.2">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3.2">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3.2">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3.2">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3.2">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3.2">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3.2">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3.2">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3.2">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3.2">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3.2">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3.2">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3.2">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3.2">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3.2">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3.2">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3.2">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3.2">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3.2">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3.2">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3.2">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3.2">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3.2">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3.2">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3.2">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3.2">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3.2">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3.2">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3.2">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3.2">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3.2">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3.2">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3.2">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3.2">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3.2">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3.2">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3.2">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3.2">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3.2">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3.2">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3.2">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3.2">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3.2">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3.2">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3.2">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3.2">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3.2">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3.2">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3.2">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3.2">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3.2">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3.2">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3.2">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3.2">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3.2">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3.2">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3.2">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3.2">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3.2">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3.2">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3.2">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3.2">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3.2">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3.2">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3.2">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3.2">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3.2">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3.2">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3.2">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3.2">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3.2">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3.2">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3.2">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3.2">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3.2">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3.2">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3.2">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3.2">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3.2">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3.2">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3.2">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3.2">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3.2">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3.2">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3.2">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3.2">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3.2">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3.2">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3.2">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3.2">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3.2">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3.2">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3.2">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3.2">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3.2">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3.2">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3.2">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3.2">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3.2">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3.2">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3.2">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3.2">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3.2">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3.2">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3.2">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3.2">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3.2">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3.2">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3.2">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3.2">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3.2">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3.2">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3.2">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3.2">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3.2">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3.2">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3.2">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3.2">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3.2">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3.2">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3.2">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3.2">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3.2">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3.2">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3.2">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3.2">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3.2">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3.2">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3.2">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3.2">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3.2">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3.2">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3.2">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3.2">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3.2">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3.2">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3.2">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3.2">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3.2">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3.2">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3.2">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3.2">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3.2">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3.2">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3.2">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3.2">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3.2">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3.2">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3.2">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3.2">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3.2">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3.2">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3.2">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3.2">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3.2">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3.2">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3.2">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3.2">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3.2">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3.2">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3.2">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3.2">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3.2">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3.2">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3.2">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3.2">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3.2">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3.2">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3.2">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3.2">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3.2">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3.2">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3.2">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3.2">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3.2">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3.2">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3.2">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3.2">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3.2">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3.2">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3.2">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3.2">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3.2">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3.2">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3.2">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3.2">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3.2">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3.2">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3.2">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3.2">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3.2">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3.2">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3.2">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3.2">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3.2">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3.2">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3.2">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3.2">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3.2">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3.2">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3.2">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3.2">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3.2">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3.2">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3.2">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3.2">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3.2">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3.2">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3.2">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3.2">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3.2">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3.2">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3.2">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3.2">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3.2">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3.2">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3.2">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3.2">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3.2">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3.2">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3.2">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3.2">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3.2">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3.2">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3.2">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3.2">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3.2">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3.2">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3.2">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3.2">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3.2">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3.2">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3.2">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3.2">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c r="A896" s="24"/>
      <c r="B896" s="24"/>
      <c r="C896" s="24"/>
      <c r="D896" s="24"/>
      <c r="E896" s="24"/>
      <c r="F896" s="24"/>
      <c r="G896" s="24"/>
      <c r="H896" s="24"/>
      <c r="I896" s="24"/>
      <c r="J896" s="158"/>
    </row>
  </sheetData>
  <autoFilter ref="A15:I42" xr:uid="{00000000-0009-0000-0000-000002000000}"/>
  <customSheetViews>
    <customSheetView guid="{48220F53-A753-4F0D-A1B0-4DC5693E83E9}" filter="1" showAutoFilter="1">
      <pageMargins left="0.7" right="0.7" top="0.75" bottom="0.75" header="0.3" footer="0.3"/>
      <autoFilter ref="A15:L41" xr:uid="{00000000-0000-0000-0000-000000000000}"/>
    </customSheetView>
    <customSheetView guid="{FFD1D3DF-AC67-4F1F-BAFB-92C0D7600335}" filter="1" showAutoFilter="1">
      <pageMargins left="0.7" right="0.7" top="0.75" bottom="0.75" header="0.3" footer="0.3"/>
      <autoFilter ref="J15:J40" xr:uid="{00000000-0000-0000-0000-000000000000}"/>
    </customSheetView>
  </customSheetViews>
  <mergeCells count="3">
    <mergeCell ref="D9:D10"/>
    <mergeCell ref="A5:J5"/>
    <mergeCell ref="E12:F12"/>
  </mergeCells>
  <conditionalFormatting sqref="H17:H23 H27:H44">
    <cfRule type="cellIs" dxfId="96" priority="22" operator="equal">
      <formula>"MEP validée"</formula>
    </cfRule>
  </conditionalFormatting>
  <conditionalFormatting sqref="H17:H23 H27:H44">
    <cfRule type="cellIs" dxfId="95" priority="23" operator="equal">
      <formula>"MEP à vérifier"</formula>
    </cfRule>
  </conditionalFormatting>
  <conditionalFormatting sqref="H17:H23 H27:H44">
    <cfRule type="cellIs" dxfId="94" priority="24" operator="equal">
      <formula>"MEP en cours"</formula>
    </cfRule>
  </conditionalFormatting>
  <conditionalFormatting sqref="H17:H23 H27:H44">
    <cfRule type="cellIs" dxfId="93" priority="25" operator="equal">
      <formula>"En production"</formula>
    </cfRule>
  </conditionalFormatting>
  <conditionalFormatting sqref="H17:H23 H27:H44">
    <cfRule type="cellIs" dxfId="92" priority="26" operator="equal">
      <formula>"Reçu"</formula>
    </cfRule>
  </conditionalFormatting>
  <conditionalFormatting sqref="H17:H23 H26:H44">
    <cfRule type="cellIs" dxfId="91" priority="27" operator="equal">
      <formula>"Prêt à partir"</formula>
    </cfRule>
  </conditionalFormatting>
  <conditionalFormatting sqref="H45">
    <cfRule type="cellIs" dxfId="90" priority="16" operator="equal">
      <formula>"MEP validée"</formula>
    </cfRule>
  </conditionalFormatting>
  <conditionalFormatting sqref="H45">
    <cfRule type="cellIs" dxfId="89" priority="17" operator="equal">
      <formula>"MEP à vérifier"</formula>
    </cfRule>
  </conditionalFormatting>
  <conditionalFormatting sqref="H45">
    <cfRule type="cellIs" dxfId="88" priority="18" operator="equal">
      <formula>"MEP en cours"</formula>
    </cfRule>
  </conditionalFormatting>
  <conditionalFormatting sqref="H45">
    <cfRule type="cellIs" dxfId="87" priority="19" operator="equal">
      <formula>"En production"</formula>
    </cfRule>
  </conditionalFormatting>
  <conditionalFormatting sqref="H45">
    <cfRule type="cellIs" dxfId="86" priority="20" operator="equal">
      <formula>"Reçu"</formula>
    </cfRule>
  </conditionalFormatting>
  <conditionalFormatting sqref="H45">
    <cfRule type="cellIs" dxfId="85" priority="21" operator="equal">
      <formula>"Prêt à partir"</formula>
    </cfRule>
  </conditionalFormatting>
  <conditionalFormatting sqref="H26">
    <cfRule type="cellIs" dxfId="84" priority="11" operator="equal">
      <formula>"MEP validée"</formula>
    </cfRule>
  </conditionalFormatting>
  <conditionalFormatting sqref="H26">
    <cfRule type="cellIs" dxfId="83" priority="12" operator="equal">
      <formula>"MEP à vérifier"</formula>
    </cfRule>
  </conditionalFormatting>
  <conditionalFormatting sqref="H26">
    <cfRule type="cellIs" dxfId="82" priority="13" operator="equal">
      <formula>"MEP en cours"</formula>
    </cfRule>
  </conditionalFormatting>
  <conditionalFormatting sqref="H26">
    <cfRule type="cellIs" dxfId="81" priority="14" operator="equal">
      <formula>"En production"</formula>
    </cfRule>
  </conditionalFormatting>
  <conditionalFormatting sqref="H26">
    <cfRule type="cellIs" dxfId="80" priority="15" operator="equal">
      <formula>"Reçu"</formula>
    </cfRule>
  </conditionalFormatting>
  <conditionalFormatting sqref="H27">
    <cfRule type="cellIs" dxfId="79" priority="6" operator="equal">
      <formula>"MEP validée"</formula>
    </cfRule>
  </conditionalFormatting>
  <conditionalFormatting sqref="H27">
    <cfRule type="cellIs" dxfId="78" priority="7" operator="equal">
      <formula>"MEP à vérifier"</formula>
    </cfRule>
  </conditionalFormatting>
  <conditionalFormatting sqref="H27">
    <cfRule type="cellIs" dxfId="77" priority="8" operator="equal">
      <formula>"MEP en cours"</formula>
    </cfRule>
  </conditionalFormatting>
  <conditionalFormatting sqref="H27">
    <cfRule type="cellIs" dxfId="76" priority="9" operator="equal">
      <formula>"En production"</formula>
    </cfRule>
  </conditionalFormatting>
  <conditionalFormatting sqref="H27">
    <cfRule type="cellIs" dxfId="75" priority="10" operator="equal">
      <formula>"Reçu"</formula>
    </cfRule>
  </conditionalFormatting>
  <conditionalFormatting sqref="H28">
    <cfRule type="cellIs" dxfId="74" priority="1" operator="equal">
      <formula>"MEP validée"</formula>
    </cfRule>
  </conditionalFormatting>
  <conditionalFormatting sqref="H28">
    <cfRule type="cellIs" dxfId="73" priority="2" operator="equal">
      <formula>"MEP à vérifier"</formula>
    </cfRule>
  </conditionalFormatting>
  <conditionalFormatting sqref="H28">
    <cfRule type="cellIs" dxfId="72" priority="3" operator="equal">
      <formula>"MEP en cours"</formula>
    </cfRule>
  </conditionalFormatting>
  <conditionalFormatting sqref="H28">
    <cfRule type="cellIs" dxfId="71" priority="4" operator="equal">
      <formula>"En production"</formula>
    </cfRule>
  </conditionalFormatting>
  <conditionalFormatting sqref="H28">
    <cfRule type="cellIs" dxfId="70" priority="5" operator="equal">
      <formula>"Reçu"</formula>
    </cfRule>
  </conditionalFormatting>
  <hyperlinks>
    <hyperlink ref="C48" r:id="rId1" xr:uid="{00000000-0004-0000-0200-000000000000}"/>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Statistiques!$A$6:$A$16</xm:f>
          </x14:formula1>
          <xm:sqref>H26:H45 H17:H23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pageSetUpPr fitToPage="1"/>
  </sheetPr>
  <dimension ref="A1:AC1105"/>
  <sheetViews>
    <sheetView showGridLines="0" view="pageLayout" topLeftCell="A15" zoomScale="70" zoomScaleNormal="79" zoomScalePageLayoutView="70" workbookViewId="0">
      <selection activeCell="I51" sqref="I51"/>
    </sheetView>
  </sheetViews>
  <sheetFormatPr defaultColWidth="14.44140625" defaultRowHeight="15.75" customHeight="1"/>
  <cols>
    <col min="1" max="1" width="28" customWidth="1"/>
    <col min="2" max="2" width="17.77734375" customWidth="1"/>
    <col min="3" max="3" width="43.21875" customWidth="1"/>
    <col min="4" max="4" width="8.21875" customWidth="1"/>
    <col min="5" max="5" width="21.21875" customWidth="1"/>
    <col min="6" max="6" width="17.77734375" customWidth="1"/>
    <col min="7" max="7" width="10.5546875" customWidth="1"/>
    <col min="8" max="8" width="23.44140625" customWidth="1"/>
    <col min="9" max="9" width="18.44140625" customWidth="1"/>
  </cols>
  <sheetData>
    <row r="1" spans="1:29" ht="13.2">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3.2">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3.2">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3.2">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c r="L5" s="5"/>
      <c r="M5" s="5"/>
      <c r="N5" s="5"/>
      <c r="O5" s="5"/>
      <c r="P5" s="5"/>
      <c r="Q5" s="5"/>
      <c r="R5" s="5"/>
      <c r="S5" s="5"/>
      <c r="T5" s="5"/>
      <c r="U5" s="5"/>
      <c r="V5" s="5"/>
      <c r="W5" s="5"/>
      <c r="X5" s="5"/>
      <c r="Y5" s="5"/>
      <c r="Z5" s="5"/>
      <c r="AA5" s="5"/>
      <c r="AB5" s="5"/>
      <c r="AC5" s="5"/>
    </row>
    <row r="6" spans="1:29" ht="13.35" customHeight="1" thickBot="1">
      <c r="A6" s="291" t="s">
        <v>1</v>
      </c>
      <c r="B6" s="291"/>
      <c r="C6" s="291"/>
      <c r="D6" s="291"/>
      <c r="E6" s="291"/>
      <c r="F6" s="291"/>
      <c r="G6" s="291"/>
      <c r="H6" s="291"/>
      <c r="I6" s="291"/>
      <c r="J6" s="291"/>
      <c r="K6" s="291"/>
      <c r="L6" s="5"/>
      <c r="M6" s="5"/>
      <c r="N6" s="5"/>
      <c r="O6" s="5"/>
      <c r="P6" s="5"/>
      <c r="Q6" s="5"/>
      <c r="R6" s="5"/>
      <c r="S6" s="5"/>
      <c r="T6" s="5"/>
      <c r="U6" s="5"/>
      <c r="V6" s="5"/>
      <c r="W6" s="5"/>
      <c r="X6" s="5"/>
      <c r="Y6" s="5"/>
      <c r="Z6" s="5"/>
      <c r="AA6" s="5"/>
      <c r="AB6" s="5"/>
      <c r="AC6" s="5"/>
    </row>
    <row r="7" spans="1:29" ht="13.35" customHeight="1" thickBot="1">
      <c r="A7" s="291"/>
      <c r="B7" s="291"/>
      <c r="C7" s="291"/>
      <c r="D7" s="291"/>
      <c r="E7" s="291"/>
      <c r="F7" s="291"/>
      <c r="G7" s="291"/>
      <c r="H7" s="291"/>
      <c r="I7" s="291"/>
      <c r="J7" s="291"/>
      <c r="K7" s="291"/>
      <c r="L7" s="5"/>
      <c r="M7" s="5"/>
      <c r="N7" s="5"/>
      <c r="O7" s="5"/>
      <c r="P7" s="5"/>
      <c r="Q7" s="5"/>
      <c r="R7" s="5"/>
      <c r="S7" s="5"/>
      <c r="T7" s="5"/>
      <c r="U7" s="5"/>
      <c r="V7" s="5"/>
      <c r="W7" s="5"/>
      <c r="X7" s="5"/>
      <c r="Y7" s="5"/>
      <c r="Z7" s="5"/>
      <c r="AA7" s="5"/>
      <c r="AB7" s="5"/>
      <c r="AC7" s="5"/>
    </row>
    <row r="8" spans="1:29" ht="13.8" customHeight="1">
      <c r="L8" s="5"/>
      <c r="M8" s="5"/>
      <c r="N8" s="5"/>
      <c r="O8" s="5"/>
      <c r="P8" s="5"/>
      <c r="Q8" s="5"/>
      <c r="R8" s="5"/>
      <c r="S8" s="5"/>
      <c r="T8" s="5"/>
      <c r="U8" s="5"/>
      <c r="V8" s="5"/>
      <c r="W8" s="5"/>
      <c r="X8" s="5"/>
      <c r="Y8" s="5"/>
      <c r="Z8" s="5"/>
      <c r="AA8" s="5"/>
      <c r="AB8" s="5"/>
      <c r="AC8" s="5"/>
    </row>
    <row r="9" spans="1:29" ht="25.8">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6.4">
      <c r="A10" s="10" t="s">
        <v>4</v>
      </c>
      <c r="B10" s="5"/>
      <c r="C10" s="6"/>
      <c r="D10" s="5"/>
      <c r="E10" s="284"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21.6">
      <c r="A11" s="5"/>
      <c r="B11" s="5"/>
      <c r="C11" s="24"/>
      <c r="D11" s="5"/>
      <c r="E11" s="297"/>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2">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3.2">
      <c r="A13" s="23" t="s">
        <v>29</v>
      </c>
      <c r="B13" s="30">
        <f ca="1">TODAY()</f>
        <v>43508</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8">
      <c r="A14" s="5"/>
      <c r="B14" s="5"/>
      <c r="C14" s="6"/>
      <c r="D14" s="5"/>
      <c r="E14" s="31" t="s">
        <v>23</v>
      </c>
      <c r="F14" s="33">
        <f>SUM(D26:D115)</f>
        <v>239</v>
      </c>
      <c r="G14" s="5"/>
      <c r="H14" s="5"/>
      <c r="I14" s="5"/>
      <c r="J14" s="5"/>
      <c r="K14" s="5"/>
      <c r="L14" s="5"/>
      <c r="M14" s="5"/>
      <c r="N14" s="5"/>
      <c r="O14" s="5"/>
      <c r="P14" s="5"/>
      <c r="Q14" s="5"/>
      <c r="R14" s="5"/>
      <c r="S14" s="5"/>
      <c r="T14" s="5"/>
      <c r="U14" s="5"/>
      <c r="V14" s="5"/>
      <c r="W14" s="5"/>
      <c r="X14" s="5"/>
      <c r="Y14" s="5"/>
      <c r="Z14" s="5"/>
      <c r="AA14" s="5"/>
      <c r="AB14" s="5"/>
      <c r="AC14" s="5"/>
    </row>
    <row r="15" spans="1:29" ht="13.2">
      <c r="A15" s="298" t="s">
        <v>33</v>
      </c>
      <c r="B15" s="294"/>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3.2">
      <c r="A16" s="299"/>
      <c r="B16" s="293"/>
      <c r="C16" s="293"/>
      <c r="D16" s="293"/>
      <c r="E16" s="294"/>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3.2">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3.2">
      <c r="A18" s="64"/>
      <c r="B18" s="52" t="s">
        <v>83</v>
      </c>
      <c r="C18" s="68">
        <f>H26+H42+H73+180</f>
        <v>481.18899999999996</v>
      </c>
      <c r="D18" s="74" t="e">
        <f>#REF!+H27+H28+H29+H31+H33+H35+H36+H30+H72+H43+H44+H45+H47+H48+H49+H50+H51+#REF!+#REF!+H75+H76+H77+#REF!+#REF!</f>
        <v>#REF!</v>
      </c>
      <c r="E18" s="78" t="e">
        <f>H52+H53+H54+H55+H56+H57+H81+H83+H87+#REF!+H94+H95+H96+H97+H98+H99+H102</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3.2">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3.2">
      <c r="A20" s="295" t="s">
        <v>113</v>
      </c>
      <c r="B20" s="52" t="s">
        <v>39</v>
      </c>
      <c r="C20" s="292">
        <v>2017</v>
      </c>
      <c r="D20" s="293"/>
      <c r="E20" s="294"/>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3.2">
      <c r="A21" s="296"/>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3.2">
      <c r="A22" s="297"/>
      <c r="B22" s="52" t="s">
        <v>83</v>
      </c>
      <c r="C22" s="91" t="e">
        <f>H37+#REF!+H58+H59+H60+H88+H61+H89+H90</f>
        <v>#REF!</v>
      </c>
      <c r="D22" s="94" t="e">
        <f>H38+H39+H62+H63+#REF!+H64+H65+H66+#REF!+H67+H68+H69+H70+#REF!+H103</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3.2">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3.2">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6.4">
      <c r="A25" s="100" t="s">
        <v>32</v>
      </c>
      <c r="B25" s="100" t="s">
        <v>34</v>
      </c>
      <c r="C25" s="100" t="s">
        <v>35</v>
      </c>
      <c r="D25" s="100" t="s">
        <v>36</v>
      </c>
      <c r="E25" s="100" t="s">
        <v>168</v>
      </c>
      <c r="F25" s="100" t="s">
        <v>38</v>
      </c>
      <c r="G25" s="100" t="s">
        <v>39</v>
      </c>
      <c r="H25" s="100" t="s">
        <v>170</v>
      </c>
      <c r="I25" s="100" t="s">
        <v>40</v>
      </c>
      <c r="J25" s="101" t="s">
        <v>41</v>
      </c>
      <c r="K25" s="38" t="s">
        <v>42</v>
      </c>
      <c r="L25" s="232" t="s">
        <v>365</v>
      </c>
      <c r="M25" s="42"/>
      <c r="N25" s="42"/>
      <c r="O25" s="42"/>
      <c r="P25" s="42"/>
      <c r="Q25" s="42"/>
      <c r="R25" s="42"/>
      <c r="S25" s="42"/>
      <c r="T25" s="42"/>
      <c r="U25" s="42"/>
      <c r="V25" s="42"/>
      <c r="W25" s="5"/>
      <c r="X25" s="5"/>
      <c r="Y25" s="5"/>
      <c r="Z25" s="5"/>
      <c r="AA25" s="5"/>
      <c r="AB25" s="5"/>
      <c r="AC25" s="5"/>
    </row>
    <row r="26" spans="1:29" ht="13.2">
      <c r="A26" s="65" t="s">
        <v>44</v>
      </c>
      <c r="B26" s="66" t="s">
        <v>45</v>
      </c>
      <c r="C26" s="67" t="s">
        <v>172</v>
      </c>
      <c r="D26" s="102">
        <v>32</v>
      </c>
      <c r="E26" s="103">
        <v>4</v>
      </c>
      <c r="F26" s="20" t="s">
        <v>173</v>
      </c>
      <c r="G26" s="105" t="s">
        <v>174</v>
      </c>
      <c r="H26" s="20">
        <v>221.18899999999999</v>
      </c>
      <c r="I26" s="20" t="s">
        <v>50</v>
      </c>
      <c r="J26" s="106" t="s">
        <v>175</v>
      </c>
      <c r="K26" s="46">
        <v>1</v>
      </c>
      <c r="L26" s="232" t="s">
        <v>364</v>
      </c>
      <c r="M26" s="42"/>
      <c r="N26" s="42"/>
      <c r="O26" s="42"/>
      <c r="P26" s="42"/>
      <c r="Q26" s="42"/>
      <c r="R26" s="42"/>
      <c r="S26" s="42"/>
      <c r="T26" s="42"/>
      <c r="U26" s="42"/>
      <c r="V26" s="42"/>
      <c r="W26" s="5"/>
      <c r="X26" s="5"/>
      <c r="Y26" s="5"/>
      <c r="Z26" s="5"/>
      <c r="AA26" s="5"/>
      <c r="AB26" s="5"/>
      <c r="AC26" s="5"/>
    </row>
    <row r="27" spans="1:29" ht="13.2">
      <c r="A27" s="65" t="s">
        <v>44</v>
      </c>
      <c r="B27" s="66" t="s">
        <v>45</v>
      </c>
      <c r="C27" s="107" t="s">
        <v>176</v>
      </c>
      <c r="D27" s="108">
        <v>2</v>
      </c>
      <c r="E27" s="109">
        <v>3</v>
      </c>
      <c r="F27" s="110" t="s">
        <v>173</v>
      </c>
      <c r="G27" s="111" t="s">
        <v>62</v>
      </c>
      <c r="H27" s="20">
        <v>40</v>
      </c>
      <c r="I27" s="20" t="s">
        <v>50</v>
      </c>
      <c r="J27" s="106" t="s">
        <v>177</v>
      </c>
      <c r="K27" s="59">
        <v>2</v>
      </c>
      <c r="L27" s="232" t="s">
        <v>364</v>
      </c>
      <c r="M27" s="42"/>
      <c r="N27" s="42"/>
      <c r="O27" s="42"/>
      <c r="P27" s="42"/>
      <c r="Q27" s="42"/>
      <c r="R27" s="42"/>
      <c r="S27" s="42"/>
      <c r="T27" s="42"/>
      <c r="U27" s="42"/>
      <c r="V27" s="42"/>
      <c r="W27" s="5"/>
      <c r="X27" s="5"/>
      <c r="Y27" s="5"/>
      <c r="Z27" s="5"/>
      <c r="AA27" s="5"/>
      <c r="AB27" s="5"/>
      <c r="AC27" s="5"/>
    </row>
    <row r="28" spans="1:29" ht="13.2">
      <c r="A28" s="65" t="s">
        <v>44</v>
      </c>
      <c r="B28" s="66" t="s">
        <v>45</v>
      </c>
      <c r="C28" s="227" t="s">
        <v>84</v>
      </c>
      <c r="D28" s="69">
        <v>6</v>
      </c>
      <c r="E28" s="112">
        <v>3</v>
      </c>
      <c r="F28" s="110" t="s">
        <v>173</v>
      </c>
      <c r="G28" s="111" t="s">
        <v>62</v>
      </c>
      <c r="H28" s="105">
        <f>56*4</f>
        <v>224</v>
      </c>
      <c r="I28" s="123" t="s">
        <v>50</v>
      </c>
      <c r="J28" s="75" t="s">
        <v>66</v>
      </c>
      <c r="K28" s="59">
        <v>2</v>
      </c>
      <c r="L28" s="232"/>
      <c r="M28" s="42"/>
      <c r="N28" s="42"/>
      <c r="O28" s="42"/>
      <c r="P28" s="42"/>
      <c r="Q28" s="42"/>
      <c r="R28" s="42"/>
      <c r="S28" s="42"/>
      <c r="T28" s="42"/>
      <c r="U28" s="42"/>
      <c r="V28" s="42"/>
      <c r="W28" s="5"/>
      <c r="X28" s="5"/>
      <c r="Y28" s="5"/>
      <c r="Z28" s="5"/>
      <c r="AA28" s="5"/>
      <c r="AB28" s="5"/>
      <c r="AC28" s="5"/>
    </row>
    <row r="29" spans="1:29" ht="13.2">
      <c r="A29" s="65" t="s">
        <v>44</v>
      </c>
      <c r="B29" s="66" t="s">
        <v>45</v>
      </c>
      <c r="C29" s="227" t="s">
        <v>100</v>
      </c>
      <c r="D29" s="69">
        <v>6</v>
      </c>
      <c r="E29" s="112">
        <v>3</v>
      </c>
      <c r="F29" s="110" t="s">
        <v>173</v>
      </c>
      <c r="G29" s="111" t="s">
        <v>62</v>
      </c>
      <c r="H29" s="105">
        <f>90*4</f>
        <v>360</v>
      </c>
      <c r="I29" s="123" t="s">
        <v>50</v>
      </c>
      <c r="J29" s="75" t="s">
        <v>66</v>
      </c>
      <c r="K29" s="59">
        <v>2</v>
      </c>
      <c r="L29" s="232"/>
      <c r="M29" s="42"/>
      <c r="N29" s="42"/>
      <c r="O29" s="42"/>
      <c r="P29" s="42"/>
      <c r="Q29" s="42"/>
      <c r="R29" s="42"/>
      <c r="S29" s="42"/>
      <c r="T29" s="42"/>
      <c r="U29" s="42"/>
      <c r="V29" s="42"/>
      <c r="W29" s="5"/>
      <c r="X29" s="5"/>
      <c r="Y29" s="5"/>
      <c r="Z29" s="5"/>
      <c r="AA29" s="5"/>
      <c r="AB29" s="5"/>
      <c r="AC29" s="5"/>
    </row>
    <row r="30" spans="1:29" ht="13.2">
      <c r="A30" s="65" t="s">
        <v>44</v>
      </c>
      <c r="B30" s="66" t="s">
        <v>45</v>
      </c>
      <c r="C30" s="229" t="s">
        <v>178</v>
      </c>
      <c r="D30" s="102">
        <v>4</v>
      </c>
      <c r="E30" s="113">
        <v>3</v>
      </c>
      <c r="F30" s="110" t="s">
        <v>173</v>
      </c>
      <c r="G30" s="114" t="s">
        <v>62</v>
      </c>
      <c r="H30" s="105">
        <f>4.75*4</f>
        <v>19</v>
      </c>
      <c r="I30" s="123" t="s">
        <v>50</v>
      </c>
      <c r="J30" s="115" t="s">
        <v>51</v>
      </c>
      <c r="K30" s="59">
        <v>2</v>
      </c>
      <c r="L30" s="232" t="s">
        <v>364</v>
      </c>
      <c r="M30" s="42"/>
      <c r="N30" s="42"/>
      <c r="O30" s="42"/>
      <c r="P30" s="42"/>
      <c r="Q30" s="42"/>
      <c r="R30" s="42"/>
      <c r="S30" s="42"/>
      <c r="T30" s="42"/>
      <c r="U30" s="42"/>
      <c r="V30" s="42"/>
      <c r="W30" s="5"/>
      <c r="X30" s="5"/>
      <c r="Y30" s="5"/>
      <c r="Z30" s="5"/>
      <c r="AA30" s="5"/>
      <c r="AB30" s="5"/>
      <c r="AC30" s="5"/>
    </row>
    <row r="31" spans="1:29" ht="13.2">
      <c r="A31" s="65" t="s">
        <v>44</v>
      </c>
      <c r="B31" s="66" t="s">
        <v>45</v>
      </c>
      <c r="C31" s="230" t="s">
        <v>179</v>
      </c>
      <c r="D31" s="116">
        <v>1</v>
      </c>
      <c r="E31" s="117">
        <v>4</v>
      </c>
      <c r="F31" s="20" t="s">
        <v>180</v>
      </c>
      <c r="G31" s="114" t="s">
        <v>174</v>
      </c>
      <c r="H31" s="116">
        <v>180</v>
      </c>
      <c r="I31" s="123" t="s">
        <v>50</v>
      </c>
      <c r="J31" s="75" t="s">
        <v>66</v>
      </c>
      <c r="K31" s="59">
        <v>2</v>
      </c>
      <c r="L31" s="232" t="s">
        <v>364</v>
      </c>
      <c r="M31" s="42"/>
      <c r="N31" s="42"/>
      <c r="O31" s="42"/>
      <c r="P31" s="42"/>
      <c r="Q31" s="42"/>
      <c r="R31" s="42"/>
      <c r="S31" s="42"/>
      <c r="T31" s="42"/>
      <c r="U31" s="42"/>
      <c r="V31" s="42"/>
      <c r="W31" s="5"/>
      <c r="X31" s="5"/>
      <c r="Y31" s="5"/>
      <c r="Z31" s="5"/>
      <c r="AA31" s="5"/>
      <c r="AB31" s="5"/>
      <c r="AC31" s="5"/>
    </row>
    <row r="32" spans="1:29" ht="13.2">
      <c r="A32" s="65" t="s">
        <v>44</v>
      </c>
      <c r="B32" s="66" t="s">
        <v>45</v>
      </c>
      <c r="C32" s="230" t="s">
        <v>181</v>
      </c>
      <c r="D32" s="116">
        <v>1</v>
      </c>
      <c r="E32" s="117">
        <v>4</v>
      </c>
      <c r="F32" s="20" t="s">
        <v>180</v>
      </c>
      <c r="G32" s="114" t="s">
        <v>174</v>
      </c>
      <c r="H32" s="116">
        <v>180</v>
      </c>
      <c r="I32" s="123" t="s">
        <v>50</v>
      </c>
      <c r="J32" s="75" t="s">
        <v>66</v>
      </c>
      <c r="K32" s="59">
        <v>2</v>
      </c>
      <c r="L32" s="232" t="s">
        <v>364</v>
      </c>
      <c r="M32" s="42"/>
      <c r="N32" s="42"/>
      <c r="O32" s="42"/>
      <c r="P32" s="42"/>
      <c r="Q32" s="42"/>
      <c r="R32" s="42"/>
      <c r="S32" s="42"/>
      <c r="T32" s="42"/>
      <c r="U32" s="42"/>
      <c r="V32" s="42"/>
      <c r="W32" s="5"/>
      <c r="X32" s="5"/>
      <c r="Y32" s="5"/>
      <c r="Z32" s="5"/>
      <c r="AA32" s="5"/>
      <c r="AB32" s="5"/>
      <c r="AC32" s="5"/>
    </row>
    <row r="33" spans="1:29" ht="13.2">
      <c r="A33" s="65" t="s">
        <v>44</v>
      </c>
      <c r="B33" s="66" t="s">
        <v>45</v>
      </c>
      <c r="C33" s="230" t="s">
        <v>182</v>
      </c>
      <c r="D33" s="116">
        <v>1</v>
      </c>
      <c r="E33" s="113">
        <v>3</v>
      </c>
      <c r="F33" s="20" t="s">
        <v>180</v>
      </c>
      <c r="G33" s="114" t="s">
        <v>62</v>
      </c>
      <c r="H33" s="116">
        <v>180</v>
      </c>
      <c r="I33" s="123" t="s">
        <v>301</v>
      </c>
      <c r="J33" s="75" t="s">
        <v>66</v>
      </c>
      <c r="K33" s="59">
        <v>2</v>
      </c>
      <c r="L33" s="232" t="s">
        <v>364</v>
      </c>
      <c r="M33" s="42"/>
      <c r="N33" s="42"/>
      <c r="O33" s="42"/>
      <c r="P33" s="42"/>
      <c r="Q33" s="42"/>
      <c r="R33" s="42"/>
      <c r="S33" s="42"/>
      <c r="T33" s="42"/>
      <c r="U33" s="42"/>
      <c r="V33" s="42"/>
      <c r="W33" s="5"/>
      <c r="X33" s="5"/>
      <c r="Y33" s="5"/>
      <c r="Z33" s="5"/>
      <c r="AA33" s="5"/>
      <c r="AB33" s="5"/>
      <c r="AC33" s="5"/>
    </row>
    <row r="34" spans="1:29" ht="13.2">
      <c r="A34" s="65" t="s">
        <v>44</v>
      </c>
      <c r="B34" s="66" t="s">
        <v>45</v>
      </c>
      <c r="C34" s="230" t="s">
        <v>183</v>
      </c>
      <c r="D34" s="102">
        <v>1</v>
      </c>
      <c r="E34" s="113">
        <v>3</v>
      </c>
      <c r="F34" s="20" t="s">
        <v>180</v>
      </c>
      <c r="G34" s="114" t="s">
        <v>62</v>
      </c>
      <c r="H34" s="116">
        <v>180</v>
      </c>
      <c r="I34" s="123" t="s">
        <v>301</v>
      </c>
      <c r="J34" s="75" t="s">
        <v>66</v>
      </c>
      <c r="K34" s="59">
        <v>2</v>
      </c>
      <c r="L34" s="232" t="s">
        <v>364</v>
      </c>
      <c r="M34" s="42"/>
      <c r="N34" s="42"/>
      <c r="O34" s="42"/>
      <c r="P34" s="42"/>
      <c r="Q34" s="42"/>
      <c r="R34" s="42"/>
      <c r="S34" s="42"/>
      <c r="T34" s="42"/>
      <c r="U34" s="42"/>
      <c r="V34" s="42"/>
      <c r="W34" s="5"/>
      <c r="X34" s="5"/>
      <c r="Y34" s="5"/>
      <c r="Z34" s="5"/>
      <c r="AA34" s="5"/>
      <c r="AB34" s="5"/>
      <c r="AC34" s="5"/>
    </row>
    <row r="35" spans="1:29" ht="13.2">
      <c r="A35" s="65" t="s">
        <v>44</v>
      </c>
      <c r="B35" s="66" t="s">
        <v>45</v>
      </c>
      <c r="C35" s="229" t="s">
        <v>184</v>
      </c>
      <c r="D35" s="102">
        <v>4</v>
      </c>
      <c r="E35" s="113">
        <v>3</v>
      </c>
      <c r="F35" s="110" t="s">
        <v>173</v>
      </c>
      <c r="G35" s="114" t="s">
        <v>62</v>
      </c>
      <c r="H35" s="105">
        <v>160</v>
      </c>
      <c r="I35" s="123" t="s">
        <v>301</v>
      </c>
      <c r="J35" s="75" t="s">
        <v>77</v>
      </c>
      <c r="K35" s="59">
        <v>2</v>
      </c>
      <c r="L35" s="232" t="s">
        <v>364</v>
      </c>
      <c r="M35" s="42"/>
      <c r="N35" s="42"/>
      <c r="O35" s="42"/>
      <c r="P35" s="42"/>
      <c r="Q35" s="42"/>
      <c r="R35" s="42"/>
      <c r="S35" s="42"/>
      <c r="T35" s="42"/>
      <c r="U35" s="42"/>
      <c r="V35" s="42"/>
      <c r="W35" s="5"/>
      <c r="X35" s="5"/>
      <c r="Y35" s="5"/>
      <c r="Z35" s="5"/>
      <c r="AA35" s="5"/>
      <c r="AB35" s="5"/>
      <c r="AC35" s="5"/>
    </row>
    <row r="36" spans="1:29" ht="13.2">
      <c r="A36" s="65" t="s">
        <v>44</v>
      </c>
      <c r="B36" s="66" t="s">
        <v>45</v>
      </c>
      <c r="C36" s="229" t="s">
        <v>185</v>
      </c>
      <c r="D36" s="102">
        <v>4</v>
      </c>
      <c r="E36" s="113">
        <v>3</v>
      </c>
      <c r="F36" s="110" t="s">
        <v>173</v>
      </c>
      <c r="G36" s="114" t="s">
        <v>62</v>
      </c>
      <c r="H36" s="105">
        <v>18.52</v>
      </c>
      <c r="I36" s="123" t="s">
        <v>50</v>
      </c>
      <c r="J36" s="75" t="s">
        <v>77</v>
      </c>
      <c r="K36" s="59">
        <v>2</v>
      </c>
      <c r="L36" s="232" t="s">
        <v>364</v>
      </c>
      <c r="M36" s="42"/>
      <c r="N36" s="42"/>
      <c r="O36" s="42"/>
      <c r="P36" s="42"/>
      <c r="Q36" s="42"/>
      <c r="R36" s="42"/>
      <c r="S36" s="42"/>
      <c r="T36" s="42"/>
      <c r="U36" s="42"/>
      <c r="V36" s="42"/>
      <c r="W36" s="5"/>
      <c r="X36" s="5"/>
      <c r="Y36" s="5"/>
      <c r="Z36" s="5"/>
      <c r="AA36" s="5"/>
      <c r="AB36" s="5"/>
      <c r="AC36" s="5"/>
    </row>
    <row r="37" spans="1:29" ht="13.2">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3.2">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3.2">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3.2">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3.2">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3.2">
      <c r="A42" s="65" t="s">
        <v>104</v>
      </c>
      <c r="B42" s="66" t="s">
        <v>45</v>
      </c>
      <c r="C42" s="226" t="s">
        <v>196</v>
      </c>
      <c r="D42" s="105">
        <v>2</v>
      </c>
      <c r="E42" s="103">
        <v>4</v>
      </c>
      <c r="F42" s="105" t="s">
        <v>197</v>
      </c>
      <c r="G42" s="105" t="s">
        <v>174</v>
      </c>
      <c r="H42" s="20">
        <v>48</v>
      </c>
      <c r="I42" s="20" t="s">
        <v>50</v>
      </c>
      <c r="J42" s="75" t="s">
        <v>77</v>
      </c>
      <c r="K42" s="46">
        <v>1</v>
      </c>
      <c r="L42" s="232" t="s">
        <v>364</v>
      </c>
      <c r="M42" s="42"/>
      <c r="N42" s="42"/>
      <c r="O42" s="42"/>
      <c r="P42" s="42"/>
      <c r="Q42" s="42"/>
      <c r="R42" s="42"/>
      <c r="S42" s="42"/>
      <c r="T42" s="42"/>
      <c r="U42" s="42"/>
      <c r="V42" s="42"/>
      <c r="W42" s="5"/>
      <c r="X42" s="5"/>
      <c r="Y42" s="5"/>
      <c r="Z42" s="5"/>
      <c r="AA42" s="5"/>
      <c r="AB42" s="5"/>
      <c r="AC42" s="5"/>
    </row>
    <row r="43" spans="1:29" ht="13.2">
      <c r="A43" s="65" t="s">
        <v>104</v>
      </c>
      <c r="B43" s="66" t="s">
        <v>45</v>
      </c>
      <c r="C43" s="126" t="s">
        <v>198</v>
      </c>
      <c r="D43" s="105">
        <v>1</v>
      </c>
      <c r="E43" s="127">
        <v>1.5</v>
      </c>
      <c r="F43" s="105" t="s">
        <v>173</v>
      </c>
      <c r="G43" s="105" t="s">
        <v>48</v>
      </c>
      <c r="H43" s="20">
        <v>40</v>
      </c>
      <c r="I43" s="48" t="s">
        <v>302</v>
      </c>
      <c r="J43" s="106" t="s">
        <v>199</v>
      </c>
      <c r="K43" s="46">
        <v>1</v>
      </c>
      <c r="L43" s="42"/>
      <c r="M43" s="42"/>
      <c r="N43" s="42"/>
      <c r="O43" s="42"/>
      <c r="P43" s="42"/>
      <c r="Q43" s="42"/>
      <c r="R43" s="42"/>
      <c r="S43" s="42"/>
      <c r="T43" s="42"/>
      <c r="U43" s="42"/>
      <c r="V43" s="42"/>
      <c r="W43" s="5"/>
      <c r="X43" s="5"/>
      <c r="Y43" s="5"/>
      <c r="Z43" s="5"/>
      <c r="AA43" s="5"/>
      <c r="AB43" s="5"/>
      <c r="AC43" s="5"/>
    </row>
    <row r="44" spans="1:29" ht="13.2">
      <c r="A44" s="65" t="s">
        <v>104</v>
      </c>
      <c r="B44" s="66" t="s">
        <v>45</v>
      </c>
      <c r="C44" s="126" t="s">
        <v>200</v>
      </c>
      <c r="D44" s="105">
        <v>1</v>
      </c>
      <c r="E44" s="127">
        <v>1.5</v>
      </c>
      <c r="F44" s="105" t="s">
        <v>201</v>
      </c>
      <c r="G44" s="105" t="s">
        <v>48</v>
      </c>
      <c r="H44" s="20">
        <v>40</v>
      </c>
      <c r="I44" s="48" t="s">
        <v>302</v>
      </c>
      <c r="J44" s="75" t="s">
        <v>202</v>
      </c>
      <c r="K44" s="46">
        <v>1</v>
      </c>
      <c r="L44" s="42"/>
      <c r="M44" s="42"/>
      <c r="N44" s="42"/>
      <c r="O44" s="42"/>
      <c r="P44" s="42"/>
      <c r="Q44" s="42"/>
      <c r="R44" s="42"/>
      <c r="S44" s="42"/>
      <c r="T44" s="42"/>
      <c r="U44" s="42"/>
      <c r="V44" s="42"/>
      <c r="W44" s="5"/>
      <c r="X44" s="5"/>
      <c r="Y44" s="5"/>
      <c r="Z44" s="5"/>
      <c r="AA44" s="5"/>
      <c r="AB44" s="5"/>
      <c r="AC44" s="5"/>
    </row>
    <row r="45" spans="1:29" ht="13.2">
      <c r="A45" s="65" t="s">
        <v>104</v>
      </c>
      <c r="B45" s="66" t="s">
        <v>45</v>
      </c>
      <c r="C45" s="227" t="s">
        <v>203</v>
      </c>
      <c r="D45" s="20">
        <v>4</v>
      </c>
      <c r="E45" s="120">
        <v>3</v>
      </c>
      <c r="F45" s="20" t="s">
        <v>197</v>
      </c>
      <c r="G45" s="20" t="s">
        <v>62</v>
      </c>
      <c r="H45" s="20">
        <v>50</v>
      </c>
      <c r="I45" s="123" t="s">
        <v>50</v>
      </c>
      <c r="J45" s="128" t="s">
        <v>204</v>
      </c>
      <c r="K45" s="59">
        <v>2</v>
      </c>
      <c r="L45" s="232" t="s">
        <v>364</v>
      </c>
      <c r="M45" s="42"/>
      <c r="N45" s="42"/>
      <c r="O45" s="42"/>
      <c r="P45" s="42"/>
      <c r="Q45" s="42"/>
      <c r="R45" s="42"/>
      <c r="S45" s="42"/>
      <c r="T45" s="42"/>
      <c r="U45" s="42"/>
      <c r="V45" s="42"/>
      <c r="W45" s="5"/>
      <c r="X45" s="5"/>
      <c r="Y45" s="5"/>
      <c r="Z45" s="5"/>
      <c r="AA45" s="5"/>
      <c r="AB45" s="5"/>
      <c r="AC45" s="5"/>
    </row>
    <row r="46" spans="1:29" ht="13.2">
      <c r="A46" s="65" t="s">
        <v>104</v>
      </c>
      <c r="B46" s="66" t="s">
        <v>45</v>
      </c>
      <c r="C46" s="226" t="s">
        <v>205</v>
      </c>
      <c r="D46" s="105">
        <v>4</v>
      </c>
      <c r="E46" s="120">
        <v>3</v>
      </c>
      <c r="F46" s="105" t="s">
        <v>197</v>
      </c>
      <c r="G46" s="105" t="s">
        <v>62</v>
      </c>
      <c r="H46" s="20">
        <v>50</v>
      </c>
      <c r="I46" s="123" t="s">
        <v>301</v>
      </c>
      <c r="J46" s="75" t="s">
        <v>77</v>
      </c>
      <c r="K46" s="59">
        <v>2</v>
      </c>
      <c r="L46" s="232" t="s">
        <v>364</v>
      </c>
      <c r="M46" s="42"/>
      <c r="N46" s="42"/>
      <c r="O46" s="42"/>
      <c r="P46" s="42"/>
      <c r="Q46" s="42"/>
      <c r="R46" s="42"/>
      <c r="S46" s="42"/>
      <c r="T46" s="42"/>
      <c r="U46" s="42"/>
      <c r="V46" s="42"/>
      <c r="W46" s="5"/>
      <c r="X46" s="5"/>
      <c r="Y46" s="5"/>
      <c r="Z46" s="5"/>
      <c r="AA46" s="5"/>
      <c r="AB46" s="5"/>
      <c r="AC46" s="5"/>
    </row>
    <row r="47" spans="1:29" ht="13.2">
      <c r="A47" s="65" t="s">
        <v>104</v>
      </c>
      <c r="B47" s="66" t="s">
        <v>45</v>
      </c>
      <c r="C47" s="126" t="s">
        <v>206</v>
      </c>
      <c r="D47" s="105">
        <v>3</v>
      </c>
      <c r="E47" s="120">
        <v>3</v>
      </c>
      <c r="F47" s="105" t="s">
        <v>197</v>
      </c>
      <c r="G47" s="105" t="s">
        <v>62</v>
      </c>
      <c r="H47" s="20">
        <f>12+4+4</f>
        <v>20</v>
      </c>
      <c r="I47" s="123" t="s">
        <v>50</v>
      </c>
      <c r="J47" s="106" t="s">
        <v>155</v>
      </c>
      <c r="K47" s="59">
        <v>2</v>
      </c>
      <c r="L47" s="42"/>
      <c r="M47" s="42"/>
      <c r="N47" s="42"/>
      <c r="O47" s="42"/>
      <c r="P47" s="42"/>
      <c r="Q47" s="42"/>
      <c r="R47" s="42"/>
      <c r="S47" s="42"/>
      <c r="T47" s="42"/>
      <c r="U47" s="42"/>
      <c r="V47" s="42"/>
      <c r="W47" s="5"/>
      <c r="X47" s="5"/>
      <c r="Y47" s="5"/>
      <c r="Z47" s="5"/>
      <c r="AA47" s="5"/>
      <c r="AB47" s="5"/>
      <c r="AC47" s="5"/>
    </row>
    <row r="48" spans="1:29" ht="13.2">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13.2">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3.2">
      <c r="A50" s="65" t="s">
        <v>104</v>
      </c>
      <c r="B50" s="66" t="s">
        <v>45</v>
      </c>
      <c r="C50" s="228" t="s">
        <v>210</v>
      </c>
      <c r="D50" s="105">
        <v>2</v>
      </c>
      <c r="E50" s="120">
        <v>3</v>
      </c>
      <c r="F50" s="105" t="s">
        <v>197</v>
      </c>
      <c r="G50" s="105" t="s">
        <v>62</v>
      </c>
      <c r="H50" s="20">
        <v>20</v>
      </c>
      <c r="I50" s="123" t="s">
        <v>50</v>
      </c>
      <c r="J50" s="106" t="s">
        <v>155</v>
      </c>
      <c r="K50" s="59">
        <v>2</v>
      </c>
      <c r="L50" s="232" t="s">
        <v>364</v>
      </c>
      <c r="M50" s="42"/>
      <c r="N50" s="42"/>
      <c r="O50" s="42"/>
      <c r="P50" s="42"/>
      <c r="Q50" s="42"/>
      <c r="R50" s="42"/>
      <c r="S50" s="42"/>
      <c r="T50" s="42"/>
      <c r="U50" s="42"/>
      <c r="V50" s="42"/>
      <c r="W50" s="5"/>
      <c r="X50" s="5"/>
      <c r="Y50" s="5"/>
      <c r="Z50" s="5"/>
      <c r="AA50" s="5"/>
      <c r="AB50" s="5"/>
      <c r="AC50" s="5"/>
    </row>
    <row r="51" spans="1:29" ht="13.2">
      <c r="A51" s="65" t="s">
        <v>104</v>
      </c>
      <c r="B51" s="66" t="s">
        <v>45</v>
      </c>
      <c r="C51" s="226" t="s">
        <v>211</v>
      </c>
      <c r="D51" s="105">
        <v>2</v>
      </c>
      <c r="E51" s="120">
        <v>3</v>
      </c>
      <c r="F51" s="105" t="s">
        <v>197</v>
      </c>
      <c r="G51" s="105" t="s">
        <v>62</v>
      </c>
      <c r="H51" s="20">
        <v>60</v>
      </c>
      <c r="I51" s="123" t="s">
        <v>301</v>
      </c>
      <c r="J51" s="130" t="s">
        <v>212</v>
      </c>
      <c r="K51" s="59">
        <v>2</v>
      </c>
      <c r="L51" s="232" t="s">
        <v>364</v>
      </c>
      <c r="M51" s="42"/>
      <c r="N51" s="42"/>
      <c r="O51" s="42"/>
      <c r="P51" s="42"/>
      <c r="Q51" s="42"/>
      <c r="R51" s="42"/>
      <c r="S51" s="42"/>
      <c r="T51" s="42"/>
      <c r="U51" s="42"/>
      <c r="V51" s="42"/>
      <c r="W51" s="5"/>
      <c r="X51" s="5"/>
      <c r="Y51" s="5"/>
      <c r="Z51" s="5"/>
      <c r="AA51" s="5"/>
      <c r="AB51" s="5"/>
      <c r="AC51" s="5"/>
    </row>
    <row r="52" spans="1:29" ht="13.2">
      <c r="A52" s="65" t="s">
        <v>104</v>
      </c>
      <c r="B52" s="66" t="s">
        <v>45</v>
      </c>
      <c r="C52" s="126" t="s">
        <v>213</v>
      </c>
      <c r="D52" s="105">
        <v>1</v>
      </c>
      <c r="E52" s="120">
        <v>3</v>
      </c>
      <c r="F52" s="105" t="s">
        <v>197</v>
      </c>
      <c r="G52" s="105" t="s">
        <v>62</v>
      </c>
      <c r="H52" s="20">
        <v>5</v>
      </c>
      <c r="I52" s="123" t="s">
        <v>301</v>
      </c>
      <c r="J52" s="106" t="s">
        <v>155</v>
      </c>
      <c r="K52" s="59">
        <v>2</v>
      </c>
      <c r="L52" s="232" t="s">
        <v>364</v>
      </c>
      <c r="M52" s="42"/>
      <c r="N52" s="42"/>
      <c r="O52" s="42"/>
      <c r="P52" s="42"/>
      <c r="Q52" s="42"/>
      <c r="R52" s="42"/>
      <c r="S52" s="42"/>
      <c r="T52" s="42"/>
      <c r="U52" s="42"/>
      <c r="V52" s="42"/>
      <c r="W52" s="5"/>
      <c r="X52" s="5"/>
      <c r="Y52" s="5"/>
      <c r="Z52" s="5"/>
      <c r="AA52" s="5"/>
      <c r="AB52" s="5"/>
      <c r="AC52" s="5"/>
    </row>
    <row r="53" spans="1:29" ht="13.2">
      <c r="A53" s="65" t="s">
        <v>104</v>
      </c>
      <c r="B53" s="66" t="s">
        <v>45</v>
      </c>
      <c r="C53" s="126" t="s">
        <v>214</v>
      </c>
      <c r="D53" s="105">
        <v>1</v>
      </c>
      <c r="E53" s="120">
        <v>3</v>
      </c>
      <c r="F53" s="105" t="s">
        <v>197</v>
      </c>
      <c r="G53" s="105" t="s">
        <v>62</v>
      </c>
      <c r="H53" s="20">
        <v>10</v>
      </c>
      <c r="I53" s="123" t="s">
        <v>301</v>
      </c>
      <c r="J53" s="106" t="s">
        <v>155</v>
      </c>
      <c r="K53" s="59">
        <v>2</v>
      </c>
      <c r="L53" s="232" t="s">
        <v>364</v>
      </c>
      <c r="M53" s="42"/>
      <c r="N53" s="42"/>
      <c r="O53" s="42"/>
      <c r="P53" s="42"/>
      <c r="Q53" s="42"/>
      <c r="R53" s="42"/>
      <c r="S53" s="42"/>
      <c r="T53" s="42"/>
      <c r="U53" s="42"/>
      <c r="V53" s="42"/>
      <c r="W53" s="5"/>
      <c r="X53" s="5"/>
      <c r="Y53" s="5"/>
      <c r="Z53" s="5"/>
      <c r="AA53" s="5"/>
      <c r="AB53" s="5"/>
      <c r="AC53" s="5"/>
    </row>
    <row r="54" spans="1:29" ht="13.2">
      <c r="A54" s="65" t="s">
        <v>104</v>
      </c>
      <c r="B54" s="66" t="s">
        <v>45</v>
      </c>
      <c r="C54" s="126" t="s">
        <v>215</v>
      </c>
      <c r="D54" s="105">
        <v>1</v>
      </c>
      <c r="E54" s="120">
        <v>3</v>
      </c>
      <c r="F54" s="105" t="s">
        <v>197</v>
      </c>
      <c r="G54" s="105" t="s">
        <v>62</v>
      </c>
      <c r="H54" s="105">
        <v>7</v>
      </c>
      <c r="I54" s="123" t="s">
        <v>301</v>
      </c>
      <c r="J54" s="106" t="s">
        <v>155</v>
      </c>
      <c r="K54" s="59">
        <v>2</v>
      </c>
      <c r="L54" s="232" t="s">
        <v>364</v>
      </c>
      <c r="M54" s="42"/>
      <c r="N54" s="42"/>
      <c r="O54" s="42"/>
      <c r="P54" s="42"/>
      <c r="Q54" s="42"/>
      <c r="R54" s="42"/>
      <c r="S54" s="42"/>
      <c r="T54" s="42"/>
      <c r="U54" s="42"/>
      <c r="V54" s="42"/>
      <c r="W54" s="5"/>
      <c r="X54" s="5"/>
      <c r="Y54" s="5"/>
      <c r="Z54" s="5"/>
      <c r="AA54" s="5"/>
      <c r="AB54" s="5"/>
      <c r="AC54" s="5"/>
    </row>
    <row r="55" spans="1:29" ht="13.2">
      <c r="A55" s="65" t="s">
        <v>104</v>
      </c>
      <c r="B55" s="66" t="s">
        <v>45</v>
      </c>
      <c r="C55" s="126" t="s">
        <v>216</v>
      </c>
      <c r="D55" s="105">
        <v>1</v>
      </c>
      <c r="E55" s="127">
        <v>1.5</v>
      </c>
      <c r="F55" s="105" t="s">
        <v>197</v>
      </c>
      <c r="G55" s="105" t="s">
        <v>48</v>
      </c>
      <c r="H55" s="20">
        <v>6</v>
      </c>
      <c r="I55" s="48" t="s">
        <v>302</v>
      </c>
      <c r="J55" s="106" t="s">
        <v>155</v>
      </c>
      <c r="K55" s="46">
        <v>1</v>
      </c>
      <c r="L55" s="232" t="s">
        <v>364</v>
      </c>
      <c r="M55" s="42"/>
      <c r="N55" s="42"/>
      <c r="O55" s="42"/>
      <c r="P55" s="42"/>
      <c r="Q55" s="42"/>
      <c r="R55" s="42"/>
      <c r="S55" s="42"/>
      <c r="T55" s="42"/>
      <c r="U55" s="42"/>
      <c r="V55" s="42"/>
      <c r="W55" s="5"/>
      <c r="X55" s="5"/>
      <c r="Y55" s="5"/>
      <c r="Z55" s="5"/>
      <c r="AA55" s="5"/>
      <c r="AB55" s="5"/>
      <c r="AC55" s="5"/>
    </row>
    <row r="56" spans="1:29" ht="13.2">
      <c r="A56" s="65" t="s">
        <v>104</v>
      </c>
      <c r="B56" s="66" t="s">
        <v>45</v>
      </c>
      <c r="C56" s="126" t="s">
        <v>217</v>
      </c>
      <c r="D56" s="105">
        <v>2</v>
      </c>
      <c r="E56" s="127">
        <v>1.5</v>
      </c>
      <c r="F56" s="105" t="s">
        <v>197</v>
      </c>
      <c r="G56" s="105" t="s">
        <v>48</v>
      </c>
      <c r="H56" s="20">
        <v>12</v>
      </c>
      <c r="I56" s="48" t="s">
        <v>302</v>
      </c>
      <c r="J56" s="106" t="s">
        <v>155</v>
      </c>
      <c r="K56" s="46">
        <v>1</v>
      </c>
      <c r="L56" s="232" t="s">
        <v>364</v>
      </c>
      <c r="M56" s="42"/>
      <c r="N56" s="42"/>
      <c r="O56" s="42"/>
      <c r="P56" s="42"/>
      <c r="Q56" s="42"/>
      <c r="R56" s="42"/>
      <c r="S56" s="42"/>
      <c r="T56" s="42"/>
      <c r="U56" s="42"/>
      <c r="V56" s="42"/>
      <c r="W56" s="5"/>
      <c r="X56" s="5"/>
      <c r="Y56" s="5"/>
      <c r="Z56" s="5"/>
      <c r="AA56" s="5"/>
      <c r="AB56" s="5"/>
      <c r="AC56" s="5"/>
    </row>
    <row r="57" spans="1:29" ht="13.2">
      <c r="A57" s="65" t="s">
        <v>104</v>
      </c>
      <c r="B57" s="66" t="s">
        <v>45</v>
      </c>
      <c r="C57" s="126" t="s">
        <v>218</v>
      </c>
      <c r="D57" s="105">
        <v>1</v>
      </c>
      <c r="E57" s="120">
        <v>3</v>
      </c>
      <c r="F57" s="105" t="s">
        <v>173</v>
      </c>
      <c r="G57" s="105" t="s">
        <v>62</v>
      </c>
      <c r="H57" s="20">
        <v>8</v>
      </c>
      <c r="I57" s="123" t="s">
        <v>301</v>
      </c>
      <c r="J57" s="131" t="s">
        <v>155</v>
      </c>
      <c r="K57" s="59">
        <v>2</v>
      </c>
      <c r="L57" s="232" t="s">
        <v>364</v>
      </c>
      <c r="M57" s="42"/>
      <c r="N57" s="42"/>
      <c r="O57" s="42"/>
      <c r="P57" s="42"/>
      <c r="Q57" s="42"/>
      <c r="R57" s="42"/>
      <c r="S57" s="42"/>
      <c r="T57" s="42"/>
      <c r="U57" s="42"/>
      <c r="V57" s="42"/>
      <c r="W57" s="5"/>
      <c r="X57" s="5"/>
      <c r="Y57" s="5"/>
      <c r="Z57" s="5"/>
      <c r="AA57" s="5"/>
      <c r="AB57" s="5"/>
      <c r="AC57" s="5"/>
    </row>
    <row r="58" spans="1:29" ht="13.2">
      <c r="A58" s="65" t="s">
        <v>104</v>
      </c>
      <c r="B58" s="66" t="s">
        <v>73</v>
      </c>
      <c r="C58" s="126" t="s">
        <v>219</v>
      </c>
      <c r="D58" s="105">
        <v>1</v>
      </c>
      <c r="E58" s="132">
        <v>2.5</v>
      </c>
      <c r="F58" s="105" t="s">
        <v>197</v>
      </c>
      <c r="G58" s="133">
        <v>5754</v>
      </c>
      <c r="H58" s="20"/>
      <c r="I58" s="20" t="s">
        <v>167</v>
      </c>
      <c r="J58" s="128" t="s">
        <v>51</v>
      </c>
      <c r="K58" s="59">
        <v>2</v>
      </c>
      <c r="L58" s="232"/>
      <c r="M58" s="42"/>
      <c r="N58" s="42"/>
      <c r="O58" s="42"/>
      <c r="P58" s="42"/>
      <c r="Q58" s="42"/>
      <c r="R58" s="42"/>
      <c r="S58" s="42"/>
      <c r="T58" s="42"/>
      <c r="U58" s="42"/>
      <c r="V58" s="42"/>
      <c r="W58" s="5"/>
      <c r="X58" s="5"/>
      <c r="Y58" s="5"/>
      <c r="Z58" s="5"/>
      <c r="AA58" s="5"/>
      <c r="AB58" s="5"/>
      <c r="AC58" s="5"/>
    </row>
    <row r="59" spans="1:29" ht="13.2">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13.2">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3.2">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3.2">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13.2">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13.2">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13.2">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13.2">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13.2">
      <c r="A67" s="65" t="s">
        <v>104</v>
      </c>
      <c r="B67" s="66" t="s">
        <v>73</v>
      </c>
      <c r="C67" s="126" t="s">
        <v>230</v>
      </c>
      <c r="D67" s="105">
        <v>1</v>
      </c>
      <c r="E67" s="122">
        <v>2</v>
      </c>
      <c r="F67" s="105" t="s">
        <v>180</v>
      </c>
      <c r="G67" s="135" t="s">
        <v>190</v>
      </c>
      <c r="H67" s="20">
        <v>48</v>
      </c>
      <c r="I67" s="123" t="s">
        <v>167</v>
      </c>
      <c r="J67" s="106" t="s">
        <v>199</v>
      </c>
      <c r="K67" s="59">
        <v>2</v>
      </c>
      <c r="L67" s="232" t="s">
        <v>364</v>
      </c>
      <c r="M67" s="42"/>
      <c r="N67" s="42"/>
      <c r="O67" s="42"/>
      <c r="P67" s="42"/>
      <c r="Q67" s="42"/>
      <c r="R67" s="42"/>
      <c r="S67" s="42"/>
      <c r="T67" s="42"/>
      <c r="U67" s="42"/>
      <c r="V67" s="42"/>
      <c r="W67" s="5"/>
      <c r="X67" s="5"/>
      <c r="Y67" s="5"/>
      <c r="Z67" s="5"/>
      <c r="AA67" s="5"/>
      <c r="AB67" s="5"/>
      <c r="AC67" s="5"/>
    </row>
    <row r="68" spans="1:29" ht="13.2">
      <c r="A68" s="65" t="s">
        <v>104</v>
      </c>
      <c r="B68" s="66" t="s">
        <v>73</v>
      </c>
      <c r="C68" s="126" t="s">
        <v>231</v>
      </c>
      <c r="D68" s="105">
        <v>1</v>
      </c>
      <c r="E68" s="122">
        <v>2</v>
      </c>
      <c r="F68" s="105" t="s">
        <v>180</v>
      </c>
      <c r="G68" s="135" t="s">
        <v>190</v>
      </c>
      <c r="H68" s="20">
        <v>11</v>
      </c>
      <c r="I68" s="123" t="s">
        <v>167</v>
      </c>
      <c r="J68" s="106" t="s">
        <v>199</v>
      </c>
      <c r="K68" s="59">
        <v>2</v>
      </c>
      <c r="L68" s="232" t="s">
        <v>364</v>
      </c>
      <c r="M68" s="42"/>
      <c r="N68" s="42"/>
      <c r="O68" s="42"/>
      <c r="P68" s="42"/>
      <c r="Q68" s="42"/>
      <c r="R68" s="42"/>
      <c r="S68" s="42"/>
      <c r="T68" s="42"/>
      <c r="U68" s="42"/>
      <c r="V68" s="42"/>
      <c r="W68" s="5"/>
      <c r="X68" s="5"/>
      <c r="Y68" s="5"/>
      <c r="Z68" s="5"/>
      <c r="AA68" s="5"/>
      <c r="AB68" s="5"/>
      <c r="AC68" s="5"/>
    </row>
    <row r="69" spans="1:29" ht="13.2">
      <c r="A69" s="65" t="s">
        <v>104</v>
      </c>
      <c r="B69" s="66" t="s">
        <v>73</v>
      </c>
      <c r="C69" s="126" t="s">
        <v>232</v>
      </c>
      <c r="D69" s="105">
        <v>3</v>
      </c>
      <c r="E69" s="122">
        <v>2</v>
      </c>
      <c r="F69" s="105" t="s">
        <v>180</v>
      </c>
      <c r="G69" s="135" t="s">
        <v>190</v>
      </c>
      <c r="H69" s="20">
        <v>8</v>
      </c>
      <c r="I69" s="123" t="s">
        <v>167</v>
      </c>
      <c r="J69" s="106" t="s">
        <v>155</v>
      </c>
      <c r="K69" s="59">
        <v>2</v>
      </c>
      <c r="L69" s="232" t="s">
        <v>364</v>
      </c>
      <c r="M69" s="42"/>
      <c r="N69" s="42"/>
      <c r="O69" s="42"/>
      <c r="P69" s="42"/>
      <c r="Q69" s="42"/>
      <c r="R69" s="42"/>
      <c r="S69" s="42"/>
      <c r="T69" s="42"/>
      <c r="U69" s="42"/>
      <c r="V69" s="42"/>
      <c r="W69" s="5"/>
      <c r="X69" s="5"/>
      <c r="Y69" s="5"/>
      <c r="Z69" s="5"/>
      <c r="AA69" s="5"/>
      <c r="AB69" s="5"/>
      <c r="AC69" s="5"/>
    </row>
    <row r="70" spans="1:29" ht="13.2">
      <c r="A70" s="65" t="s">
        <v>104</v>
      </c>
      <c r="B70" s="66" t="s">
        <v>73</v>
      </c>
      <c r="C70" s="126" t="s">
        <v>233</v>
      </c>
      <c r="D70" s="105">
        <v>1</v>
      </c>
      <c r="E70" s="122">
        <v>2</v>
      </c>
      <c r="F70" s="105" t="s">
        <v>180</v>
      </c>
      <c r="G70" s="135" t="s">
        <v>190</v>
      </c>
      <c r="H70" s="20">
        <v>2</v>
      </c>
      <c r="I70" s="123" t="s">
        <v>167</v>
      </c>
      <c r="J70" s="106" t="s">
        <v>234</v>
      </c>
      <c r="K70" s="59">
        <v>2</v>
      </c>
      <c r="L70" s="232" t="s">
        <v>364</v>
      </c>
      <c r="M70" s="42"/>
      <c r="N70" s="42"/>
      <c r="O70" s="42"/>
      <c r="P70" s="42"/>
      <c r="Q70" s="42"/>
      <c r="R70" s="42"/>
      <c r="S70" s="42"/>
      <c r="T70" s="42"/>
      <c r="U70" s="42"/>
      <c r="V70" s="42"/>
      <c r="W70" s="5"/>
      <c r="X70" s="5"/>
      <c r="Y70" s="5"/>
      <c r="Z70" s="5"/>
      <c r="AA70" s="5"/>
      <c r="AB70" s="5"/>
      <c r="AC70" s="5"/>
    </row>
    <row r="71" spans="1:29" ht="13.2">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13.2">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3.2">
      <c r="A73" s="65" t="s">
        <v>116</v>
      </c>
      <c r="B73" s="66" t="s">
        <v>45</v>
      </c>
      <c r="C73" s="227" t="s">
        <v>239</v>
      </c>
      <c r="D73" s="20">
        <v>2</v>
      </c>
      <c r="E73" s="103">
        <v>4</v>
      </c>
      <c r="F73" s="20" t="s">
        <v>173</v>
      </c>
      <c r="G73" s="105" t="s">
        <v>174</v>
      </c>
      <c r="H73" s="105">
        <v>32</v>
      </c>
      <c r="I73" s="20" t="s">
        <v>50</v>
      </c>
      <c r="J73" s="136" t="s">
        <v>240</v>
      </c>
      <c r="K73" s="123"/>
      <c r="L73" s="232" t="s">
        <v>364</v>
      </c>
      <c r="M73" s="42"/>
      <c r="N73" s="42"/>
      <c r="O73" s="42"/>
      <c r="P73" s="42"/>
      <c r="Q73" s="42"/>
      <c r="R73" s="42"/>
      <c r="S73" s="42"/>
      <c r="T73" s="42"/>
      <c r="U73" s="42"/>
      <c r="V73" s="42"/>
      <c r="W73" s="5"/>
      <c r="X73" s="5"/>
      <c r="Y73" s="5"/>
      <c r="Z73" s="5"/>
      <c r="AA73" s="5"/>
      <c r="AB73" s="5"/>
      <c r="AC73" s="5"/>
    </row>
    <row r="74" spans="1:29" ht="13.2">
      <c r="A74" s="65" t="s">
        <v>116</v>
      </c>
      <c r="B74" s="66" t="s">
        <v>45</v>
      </c>
      <c r="C74" s="227" t="s">
        <v>241</v>
      </c>
      <c r="D74" s="105">
        <v>6</v>
      </c>
      <c r="E74" s="120">
        <v>3</v>
      </c>
      <c r="F74" s="20" t="s">
        <v>173</v>
      </c>
      <c r="G74" s="105" t="s">
        <v>62</v>
      </c>
      <c r="H74" s="20">
        <v>24</v>
      </c>
      <c r="I74" s="123" t="s">
        <v>50</v>
      </c>
      <c r="J74" s="136" t="s">
        <v>242</v>
      </c>
      <c r="K74" s="59">
        <v>2</v>
      </c>
      <c r="L74" s="232" t="s">
        <v>364</v>
      </c>
      <c r="M74" s="42"/>
      <c r="N74" s="42"/>
      <c r="O74" s="42"/>
      <c r="P74" s="42"/>
      <c r="Q74" s="42"/>
      <c r="R74" s="42"/>
      <c r="S74" s="42"/>
      <c r="T74" s="42"/>
      <c r="U74" s="42"/>
      <c r="V74" s="42"/>
      <c r="W74" s="5"/>
      <c r="X74" s="5"/>
      <c r="Y74" s="5"/>
      <c r="Z74" s="5"/>
      <c r="AA74" s="5"/>
      <c r="AB74" s="5"/>
      <c r="AC74" s="5"/>
    </row>
    <row r="75" spans="1:29" ht="13.2">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3.2">
      <c r="A76" s="65" t="s">
        <v>116</v>
      </c>
      <c r="B76" s="66" t="s">
        <v>45</v>
      </c>
      <c r="C76" s="126" t="s">
        <v>244</v>
      </c>
      <c r="D76" s="105">
        <v>1</v>
      </c>
      <c r="E76" s="120">
        <v>3</v>
      </c>
      <c r="F76" s="105" t="s">
        <v>173</v>
      </c>
      <c r="G76" s="105" t="s">
        <v>62</v>
      </c>
      <c r="H76" s="20">
        <v>75</v>
      </c>
      <c r="I76" s="123" t="s">
        <v>301</v>
      </c>
      <c r="J76" s="119" t="s">
        <v>124</v>
      </c>
      <c r="K76" s="59">
        <v>2</v>
      </c>
      <c r="L76" s="42"/>
      <c r="M76" s="237"/>
      <c r="N76" s="42"/>
      <c r="O76" s="42"/>
      <c r="P76" s="42"/>
      <c r="Q76" s="42"/>
      <c r="R76" s="42"/>
      <c r="S76" s="42"/>
      <c r="T76" s="42"/>
      <c r="U76" s="42"/>
      <c r="V76" s="42"/>
      <c r="W76" s="5"/>
      <c r="X76" s="5"/>
      <c r="Y76" s="5"/>
      <c r="Z76" s="5"/>
      <c r="AA76" s="5"/>
      <c r="AB76" s="5"/>
      <c r="AC76" s="5"/>
    </row>
    <row r="77" spans="1:29" ht="13.2">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3.2">
      <c r="A78" s="65" t="s">
        <v>116</v>
      </c>
      <c r="B78" s="66" t="s">
        <v>45</v>
      </c>
      <c r="C78" s="226" t="s">
        <v>246</v>
      </c>
      <c r="D78" s="105">
        <v>1</v>
      </c>
      <c r="E78" s="127">
        <v>1.5</v>
      </c>
      <c r="F78" s="105" t="s">
        <v>173</v>
      </c>
      <c r="G78" s="105" t="s">
        <v>48</v>
      </c>
      <c r="H78" s="20"/>
      <c r="I78" s="48" t="s">
        <v>302</v>
      </c>
      <c r="J78" s="130" t="s">
        <v>51</v>
      </c>
      <c r="K78" s="46">
        <v>1</v>
      </c>
      <c r="L78" s="232" t="s">
        <v>364</v>
      </c>
      <c r="M78" s="42"/>
      <c r="N78" s="42"/>
      <c r="O78" s="42"/>
      <c r="P78" s="42"/>
      <c r="Q78" s="42"/>
      <c r="R78" s="42"/>
      <c r="S78" s="42"/>
      <c r="T78" s="42"/>
      <c r="U78" s="42"/>
      <c r="V78" s="42"/>
      <c r="W78" s="5"/>
      <c r="X78" s="5"/>
      <c r="Y78" s="5"/>
      <c r="Z78" s="5"/>
      <c r="AA78" s="5"/>
      <c r="AB78" s="5"/>
      <c r="AC78" s="5"/>
    </row>
    <row r="79" spans="1:29" ht="13.2">
      <c r="A79" s="65" t="s">
        <v>116</v>
      </c>
      <c r="B79" s="66" t="s">
        <v>45</v>
      </c>
      <c r="C79" s="126" t="s">
        <v>247</v>
      </c>
      <c r="D79" s="105">
        <v>1</v>
      </c>
      <c r="E79" s="127">
        <v>1.5</v>
      </c>
      <c r="F79" s="105" t="s">
        <v>173</v>
      </c>
      <c r="G79" s="105" t="s">
        <v>48</v>
      </c>
      <c r="H79" s="20"/>
      <c r="I79" s="123" t="s">
        <v>301</v>
      </c>
      <c r="J79" s="119" t="s">
        <v>124</v>
      </c>
      <c r="K79" s="46"/>
      <c r="L79" s="232" t="s">
        <v>364</v>
      </c>
      <c r="M79" s="42"/>
      <c r="N79" s="42"/>
      <c r="O79" s="42"/>
      <c r="P79" s="42"/>
      <c r="Q79" s="42"/>
      <c r="R79" s="42"/>
      <c r="S79" s="42"/>
      <c r="T79" s="42"/>
      <c r="U79" s="42"/>
      <c r="V79" s="42"/>
      <c r="W79" s="5"/>
      <c r="X79" s="5"/>
      <c r="Y79" s="5"/>
      <c r="Z79" s="5"/>
      <c r="AA79" s="5"/>
      <c r="AB79" s="5"/>
      <c r="AC79" s="5"/>
    </row>
    <row r="80" spans="1:29" ht="13.2">
      <c r="A80" s="65" t="s">
        <v>116</v>
      </c>
      <c r="B80" s="66" t="s">
        <v>45</v>
      </c>
      <c r="C80" s="126" t="s">
        <v>248</v>
      </c>
      <c r="D80" s="105">
        <v>1</v>
      </c>
      <c r="E80" s="127">
        <v>1.5</v>
      </c>
      <c r="F80" s="105" t="s">
        <v>173</v>
      </c>
      <c r="G80" s="105" t="s">
        <v>48</v>
      </c>
      <c r="H80" s="20"/>
      <c r="I80" s="48" t="s">
        <v>302</v>
      </c>
      <c r="J80" s="119" t="s">
        <v>124</v>
      </c>
      <c r="K80" s="46">
        <v>1</v>
      </c>
      <c r="L80" s="232" t="s">
        <v>364</v>
      </c>
      <c r="M80" s="42"/>
      <c r="N80" s="42"/>
      <c r="O80" s="42"/>
      <c r="P80" s="42"/>
      <c r="Q80" s="42"/>
      <c r="R80" s="42"/>
      <c r="S80" s="42"/>
      <c r="T80" s="42"/>
      <c r="U80" s="42"/>
      <c r="V80" s="42"/>
      <c r="W80" s="5"/>
      <c r="X80" s="5"/>
      <c r="Y80" s="5"/>
      <c r="Z80" s="5"/>
      <c r="AA80" s="5"/>
      <c r="AB80" s="5"/>
      <c r="AC80" s="5"/>
    </row>
    <row r="81" spans="1:29" ht="13.2">
      <c r="A81" s="65" t="s">
        <v>116</v>
      </c>
      <c r="B81" s="66" t="s">
        <v>45</v>
      </c>
      <c r="C81" s="126" t="s">
        <v>249</v>
      </c>
      <c r="D81" s="105">
        <v>4</v>
      </c>
      <c r="E81" s="120">
        <v>3</v>
      </c>
      <c r="F81" s="105" t="s">
        <v>173</v>
      </c>
      <c r="G81" s="105" t="s">
        <v>62</v>
      </c>
      <c r="H81" s="20">
        <v>10</v>
      </c>
      <c r="I81" s="123" t="s">
        <v>50</v>
      </c>
      <c r="J81" s="119" t="s">
        <v>124</v>
      </c>
      <c r="K81" s="59">
        <v>2</v>
      </c>
      <c r="L81" s="232" t="s">
        <v>364</v>
      </c>
      <c r="M81" s="42"/>
      <c r="N81" s="42"/>
      <c r="O81" s="42"/>
      <c r="P81" s="42"/>
      <c r="Q81" s="42"/>
      <c r="R81" s="42"/>
      <c r="S81" s="42"/>
      <c r="T81" s="42"/>
      <c r="U81" s="42"/>
      <c r="V81" s="42"/>
      <c r="W81" s="5"/>
      <c r="X81" s="5"/>
      <c r="Y81" s="5"/>
      <c r="Z81" s="5"/>
      <c r="AA81" s="5"/>
      <c r="AB81" s="5"/>
      <c r="AC81" s="5"/>
    </row>
    <row r="82" spans="1:29" ht="13.2">
      <c r="A82" s="65" t="s">
        <v>116</v>
      </c>
      <c r="B82" s="66" t="s">
        <v>45</v>
      </c>
      <c r="C82" s="126" t="s">
        <v>250</v>
      </c>
      <c r="D82" s="105">
        <v>4</v>
      </c>
      <c r="E82" s="120">
        <v>3</v>
      </c>
      <c r="F82" s="105" t="s">
        <v>173</v>
      </c>
      <c r="G82" s="105" t="s">
        <v>62</v>
      </c>
      <c r="H82" s="20">
        <v>10</v>
      </c>
      <c r="I82" s="123" t="s">
        <v>301</v>
      </c>
      <c r="J82" s="119" t="s">
        <v>124</v>
      </c>
      <c r="K82" s="59">
        <v>2</v>
      </c>
      <c r="L82" s="232" t="s">
        <v>364</v>
      </c>
      <c r="M82" s="42"/>
      <c r="N82" s="42"/>
      <c r="O82" s="42"/>
      <c r="P82" s="42"/>
      <c r="Q82" s="42"/>
      <c r="R82" s="42"/>
      <c r="S82" s="42"/>
      <c r="T82" s="42"/>
      <c r="U82" s="42"/>
      <c r="V82" s="42"/>
      <c r="W82" s="5"/>
      <c r="X82" s="5"/>
      <c r="Y82" s="5"/>
      <c r="Z82" s="5"/>
      <c r="AA82" s="5"/>
      <c r="AB82" s="5"/>
      <c r="AC82" s="5"/>
    </row>
    <row r="83" spans="1:29" ht="13.2">
      <c r="A83" s="65" t="s">
        <v>116</v>
      </c>
      <c r="B83" s="66" t="s">
        <v>45</v>
      </c>
      <c r="C83" s="226" t="s">
        <v>251</v>
      </c>
      <c r="D83" s="105">
        <v>4</v>
      </c>
      <c r="E83" s="127">
        <v>1.5</v>
      </c>
      <c r="F83" s="105" t="s">
        <v>173</v>
      </c>
      <c r="G83" s="105" t="s">
        <v>48</v>
      </c>
      <c r="H83" s="20">
        <v>48</v>
      </c>
      <c r="I83" s="48" t="s">
        <v>303</v>
      </c>
      <c r="J83" s="75" t="s">
        <v>252</v>
      </c>
      <c r="K83" s="46">
        <v>1</v>
      </c>
      <c r="L83" s="232" t="s">
        <v>364</v>
      </c>
      <c r="M83" s="42"/>
      <c r="N83" s="42"/>
      <c r="O83" s="42"/>
      <c r="P83" s="42"/>
      <c r="Q83" s="42"/>
      <c r="R83" s="42"/>
      <c r="S83" s="42"/>
      <c r="T83" s="42"/>
      <c r="U83" s="42"/>
      <c r="V83" s="42"/>
      <c r="W83" s="5"/>
      <c r="X83" s="5"/>
      <c r="Y83" s="5"/>
      <c r="Z83" s="5"/>
      <c r="AA83" s="5"/>
      <c r="AB83" s="5"/>
      <c r="AC83" s="5"/>
    </row>
    <row r="84" spans="1:29" ht="13.2">
      <c r="A84" s="219" t="s">
        <v>116</v>
      </c>
      <c r="B84" s="219" t="s">
        <v>45</v>
      </c>
      <c r="C84" s="226" t="s">
        <v>363</v>
      </c>
      <c r="D84" s="121">
        <v>8</v>
      </c>
      <c r="E84" s="127">
        <v>1.5</v>
      </c>
      <c r="F84" s="121" t="s">
        <v>173</v>
      </c>
      <c r="G84" s="121" t="s">
        <v>48</v>
      </c>
      <c r="H84" s="123"/>
      <c r="I84" s="123" t="s">
        <v>50</v>
      </c>
      <c r="J84" s="75" t="s">
        <v>252</v>
      </c>
      <c r="K84" s="46">
        <v>1</v>
      </c>
      <c r="L84" s="232" t="s">
        <v>364</v>
      </c>
      <c r="M84" s="58"/>
      <c r="N84" s="58"/>
      <c r="O84" s="58"/>
      <c r="P84" s="58"/>
      <c r="Q84" s="58"/>
      <c r="R84" s="58"/>
      <c r="S84" s="58"/>
      <c r="T84" s="58"/>
      <c r="U84" s="58"/>
      <c r="V84" s="58"/>
      <c r="W84" s="5"/>
      <c r="X84" s="5"/>
      <c r="Y84" s="5"/>
      <c r="Z84" s="5"/>
      <c r="AA84" s="5"/>
      <c r="AB84" s="5"/>
      <c r="AC84" s="5"/>
    </row>
    <row r="85" spans="1:29" ht="13.2">
      <c r="A85" s="235" t="s">
        <v>116</v>
      </c>
      <c r="B85" s="235" t="s">
        <v>45</v>
      </c>
      <c r="C85" s="238" t="s">
        <v>370</v>
      </c>
      <c r="D85" s="121">
        <v>2</v>
      </c>
      <c r="E85" s="120">
        <v>3</v>
      </c>
      <c r="F85" s="121" t="s">
        <v>201</v>
      </c>
      <c r="G85" s="121" t="s">
        <v>62</v>
      </c>
      <c r="H85" s="123"/>
      <c r="I85" s="123" t="s">
        <v>50</v>
      </c>
      <c r="J85" s="239" t="s">
        <v>51</v>
      </c>
      <c r="K85" s="46"/>
      <c r="L85" s="232"/>
      <c r="M85" s="58"/>
      <c r="N85" s="58"/>
      <c r="O85" s="58"/>
      <c r="P85" s="58"/>
      <c r="Q85" s="58"/>
      <c r="R85" s="58"/>
      <c r="S85" s="58"/>
      <c r="T85" s="58"/>
      <c r="U85" s="58"/>
      <c r="V85" s="58"/>
      <c r="W85" s="5"/>
      <c r="X85" s="5"/>
      <c r="Y85" s="5"/>
      <c r="Z85" s="5"/>
      <c r="AA85" s="5"/>
      <c r="AB85" s="5"/>
      <c r="AC85" s="5"/>
    </row>
    <row r="86" spans="1:29" ht="13.2">
      <c r="A86" s="218" t="s">
        <v>116</v>
      </c>
      <c r="B86" s="218" t="s">
        <v>45</v>
      </c>
      <c r="C86" s="126" t="s">
        <v>253</v>
      </c>
      <c r="D86" s="121">
        <v>2</v>
      </c>
      <c r="E86" s="127">
        <v>1.5</v>
      </c>
      <c r="F86" s="121" t="s">
        <v>180</v>
      </c>
      <c r="G86" s="121" t="s">
        <v>48</v>
      </c>
      <c r="H86" s="123">
        <v>52</v>
      </c>
      <c r="I86" s="48" t="s">
        <v>303</v>
      </c>
      <c r="J86" s="106" t="s">
        <v>254</v>
      </c>
      <c r="K86" s="59">
        <v>2</v>
      </c>
      <c r="L86" s="232" t="s">
        <v>364</v>
      </c>
      <c r="M86" s="58"/>
      <c r="N86" s="58"/>
      <c r="O86" s="58"/>
      <c r="P86" s="58"/>
      <c r="Q86" s="58"/>
      <c r="R86" s="58"/>
      <c r="S86" s="58"/>
      <c r="T86" s="58"/>
      <c r="U86" s="58"/>
      <c r="V86" s="58"/>
      <c r="W86" s="5"/>
      <c r="X86" s="5"/>
      <c r="Y86" s="5"/>
      <c r="Z86" s="5"/>
      <c r="AA86" s="5"/>
      <c r="AB86" s="5"/>
      <c r="AC86" s="5"/>
    </row>
    <row r="87" spans="1:29" ht="13.2">
      <c r="A87" s="65" t="s">
        <v>116</v>
      </c>
      <c r="B87" s="218" t="s">
        <v>73</v>
      </c>
      <c r="C87" s="126" t="s">
        <v>361</v>
      </c>
      <c r="D87" s="105">
        <v>2</v>
      </c>
      <c r="E87" s="122">
        <v>2</v>
      </c>
      <c r="F87" s="105" t="s">
        <v>180</v>
      </c>
      <c r="G87" s="135" t="s">
        <v>190</v>
      </c>
      <c r="H87" s="20"/>
      <c r="I87" s="123" t="s">
        <v>167</v>
      </c>
      <c r="J87" s="106" t="s">
        <v>51</v>
      </c>
      <c r="K87" s="59">
        <v>2</v>
      </c>
      <c r="L87" s="42"/>
      <c r="M87" s="42"/>
      <c r="N87" s="42"/>
      <c r="O87" s="42"/>
      <c r="P87" s="42"/>
      <c r="Q87" s="42"/>
      <c r="R87" s="42"/>
      <c r="S87" s="42"/>
      <c r="T87" s="42"/>
      <c r="U87" s="42"/>
      <c r="V87" s="42"/>
      <c r="W87" s="5"/>
      <c r="X87" s="5"/>
      <c r="Y87" s="5"/>
      <c r="Z87" s="5"/>
      <c r="AA87" s="5"/>
      <c r="AB87" s="5"/>
      <c r="AC87" s="5"/>
    </row>
    <row r="88" spans="1:29" ht="13.2">
      <c r="A88" s="65" t="s">
        <v>116</v>
      </c>
      <c r="B88" s="66" t="s">
        <v>73</v>
      </c>
      <c r="C88" s="126" t="s">
        <v>255</v>
      </c>
      <c r="D88" s="105">
        <v>2</v>
      </c>
      <c r="E88" s="137">
        <v>3</v>
      </c>
      <c r="F88" s="105" t="s">
        <v>180</v>
      </c>
      <c r="G88" s="105" t="s">
        <v>138</v>
      </c>
      <c r="H88" s="20">
        <v>184</v>
      </c>
      <c r="I88" s="123" t="s">
        <v>167</v>
      </c>
      <c r="J88" s="119" t="s">
        <v>124</v>
      </c>
      <c r="K88" s="59">
        <v>2</v>
      </c>
      <c r="L88" s="42"/>
      <c r="M88" s="42"/>
      <c r="N88" s="42"/>
      <c r="O88" s="42"/>
      <c r="P88" s="42"/>
      <c r="Q88" s="42"/>
      <c r="R88" s="42"/>
      <c r="S88" s="42"/>
      <c r="T88" s="42"/>
      <c r="U88" s="42"/>
      <c r="V88" s="42"/>
      <c r="W88" s="5"/>
      <c r="X88" s="5"/>
      <c r="Y88" s="5"/>
      <c r="Z88" s="5"/>
      <c r="AA88" s="5"/>
      <c r="AB88" s="5"/>
      <c r="AC88" s="5"/>
    </row>
    <row r="89" spans="1:29" ht="13.2">
      <c r="A89" s="65" t="s">
        <v>116</v>
      </c>
      <c r="B89" s="66" t="s">
        <v>73</v>
      </c>
      <c r="C89" s="126" t="s">
        <v>256</v>
      </c>
      <c r="D89" s="105">
        <v>2</v>
      </c>
      <c r="E89" s="137">
        <v>3</v>
      </c>
      <c r="F89" s="105" t="s">
        <v>180</v>
      </c>
      <c r="G89" s="105" t="s">
        <v>138</v>
      </c>
      <c r="H89" s="20">
        <v>257</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13.2">
      <c r="A90" s="236" t="s">
        <v>116</v>
      </c>
      <c r="B90" s="236" t="s">
        <v>73</v>
      </c>
      <c r="C90" s="240" t="s">
        <v>257</v>
      </c>
      <c r="D90" s="241">
        <v>1</v>
      </c>
      <c r="E90" s="242">
        <v>3</v>
      </c>
      <c r="F90" s="241" t="s">
        <v>180</v>
      </c>
      <c r="G90" s="241" t="s">
        <v>138</v>
      </c>
      <c r="H90" s="243">
        <v>10</v>
      </c>
      <c r="I90" s="243" t="s">
        <v>167</v>
      </c>
      <c r="J90" s="244" t="s">
        <v>124</v>
      </c>
      <c r="K90" s="245">
        <v>2</v>
      </c>
      <c r="L90" s="58"/>
      <c r="M90" s="58"/>
      <c r="N90" s="58"/>
      <c r="O90" s="58"/>
      <c r="P90" s="58"/>
      <c r="Q90" s="58"/>
      <c r="R90" s="58"/>
      <c r="S90" s="58"/>
      <c r="T90" s="58"/>
      <c r="U90" s="58"/>
      <c r="V90" s="58"/>
      <c r="W90" s="5"/>
      <c r="X90" s="5"/>
      <c r="Y90" s="5"/>
      <c r="Z90" s="5"/>
      <c r="AA90" s="5"/>
      <c r="AB90" s="5"/>
      <c r="AC90" s="5"/>
    </row>
    <row r="91" spans="1:29" ht="13.2">
      <c r="A91" s="210" t="s">
        <v>116</v>
      </c>
      <c r="B91" s="236" t="s">
        <v>73</v>
      </c>
      <c r="C91" s="257" t="s">
        <v>371</v>
      </c>
      <c r="D91" s="253">
        <v>1</v>
      </c>
      <c r="E91" s="122">
        <v>2</v>
      </c>
      <c r="F91" s="241" t="s">
        <v>180</v>
      </c>
      <c r="G91" s="135" t="s">
        <v>190</v>
      </c>
      <c r="H91" s="254"/>
      <c r="I91" s="254" t="s">
        <v>87</v>
      </c>
      <c r="J91" s="130" t="s">
        <v>51</v>
      </c>
      <c r="K91" s="255"/>
      <c r="L91" s="58"/>
      <c r="M91" s="58"/>
      <c r="N91" s="58"/>
      <c r="O91" s="58"/>
      <c r="P91" s="58"/>
      <c r="Q91" s="58"/>
      <c r="R91" s="58"/>
      <c r="S91" s="58"/>
      <c r="T91" s="58"/>
      <c r="U91" s="58"/>
      <c r="V91" s="58"/>
      <c r="W91" s="5"/>
      <c r="X91" s="5"/>
      <c r="Y91" s="5"/>
      <c r="Z91" s="5"/>
      <c r="AA91" s="5"/>
      <c r="AB91" s="5"/>
      <c r="AC91" s="5"/>
    </row>
    <row r="92" spans="1:29" ht="13.2">
      <c r="A92" s="210" t="s">
        <v>116</v>
      </c>
      <c r="B92" s="236" t="s">
        <v>73</v>
      </c>
      <c r="C92" s="257" t="s">
        <v>372</v>
      </c>
      <c r="D92" s="253">
        <v>1</v>
      </c>
      <c r="E92" s="122">
        <v>2</v>
      </c>
      <c r="F92" s="241" t="s">
        <v>180</v>
      </c>
      <c r="G92" s="135" t="s">
        <v>190</v>
      </c>
      <c r="H92" s="254"/>
      <c r="I92" s="243" t="s">
        <v>167</v>
      </c>
      <c r="J92" s="130" t="s">
        <v>51</v>
      </c>
      <c r="K92" s="255"/>
      <c r="L92" s="58"/>
      <c r="M92" s="58"/>
      <c r="N92" s="58"/>
      <c r="O92" s="58"/>
      <c r="P92" s="58"/>
      <c r="Q92" s="58"/>
      <c r="R92" s="58"/>
      <c r="S92" s="58"/>
      <c r="T92" s="58"/>
      <c r="U92" s="58"/>
      <c r="V92" s="58"/>
      <c r="W92" s="5"/>
      <c r="X92" s="5"/>
      <c r="Y92" s="5"/>
      <c r="Z92" s="5"/>
      <c r="AA92" s="5"/>
      <c r="AB92" s="5"/>
      <c r="AC92" s="5"/>
    </row>
    <row r="93" spans="1:29" ht="13.2">
      <c r="A93" s="210" t="s">
        <v>116</v>
      </c>
      <c r="B93" s="236" t="s">
        <v>73</v>
      </c>
      <c r="C93" s="257" t="s">
        <v>373</v>
      </c>
      <c r="D93" s="253">
        <v>1</v>
      </c>
      <c r="E93" s="122">
        <v>2</v>
      </c>
      <c r="F93" s="241" t="s">
        <v>180</v>
      </c>
      <c r="G93" s="135" t="s">
        <v>190</v>
      </c>
      <c r="H93" s="256"/>
      <c r="I93" s="243" t="s">
        <v>167</v>
      </c>
      <c r="J93" s="130" t="s">
        <v>51</v>
      </c>
      <c r="K93" s="256"/>
      <c r="L93" s="42"/>
      <c r="M93" s="42"/>
      <c r="N93" s="42"/>
      <c r="O93" s="42"/>
      <c r="P93" s="42"/>
      <c r="Q93" s="42"/>
      <c r="R93" s="42"/>
      <c r="S93" s="42"/>
      <c r="T93" s="42"/>
      <c r="U93" s="42"/>
      <c r="V93" s="42"/>
      <c r="W93" s="5"/>
      <c r="X93" s="5"/>
      <c r="Y93" s="5"/>
      <c r="Z93" s="5"/>
      <c r="AA93" s="5"/>
      <c r="AB93" s="5"/>
      <c r="AC93" s="5"/>
    </row>
    <row r="94" spans="1:29" ht="13.2">
      <c r="A94" s="210" t="s">
        <v>258</v>
      </c>
      <c r="B94" s="210" t="s">
        <v>45</v>
      </c>
      <c r="C94" s="258" t="s">
        <v>259</v>
      </c>
      <c r="D94" s="247">
        <v>2</v>
      </c>
      <c r="E94" s="248">
        <v>1.5</v>
      </c>
      <c r="F94" s="247" t="s">
        <v>173</v>
      </c>
      <c r="G94" s="247" t="s">
        <v>48</v>
      </c>
      <c r="H94" s="249">
        <f t="shared" ref="H94:H100" si="0">4*D94</f>
        <v>8</v>
      </c>
      <c r="I94" s="250" t="s">
        <v>303</v>
      </c>
      <c r="J94" s="251" t="s">
        <v>260</v>
      </c>
      <c r="K94" s="252">
        <v>1</v>
      </c>
      <c r="L94" s="232" t="s">
        <v>364</v>
      </c>
      <c r="M94" s="42"/>
      <c r="N94" s="42"/>
      <c r="O94" s="42"/>
      <c r="P94" s="42"/>
      <c r="Q94" s="42"/>
      <c r="R94" s="42"/>
      <c r="S94" s="42"/>
      <c r="T94" s="42"/>
      <c r="U94" s="42"/>
      <c r="V94" s="42"/>
      <c r="W94" s="5"/>
      <c r="X94" s="5"/>
      <c r="Y94" s="5"/>
      <c r="Z94" s="5"/>
      <c r="AA94" s="5"/>
      <c r="AB94" s="5"/>
      <c r="AC94" s="5"/>
    </row>
    <row r="95" spans="1:29" ht="13.2">
      <c r="A95" s="246" t="s">
        <v>258</v>
      </c>
      <c r="B95" s="246" t="s">
        <v>45</v>
      </c>
      <c r="C95" s="126" t="s">
        <v>261</v>
      </c>
      <c r="D95" s="105">
        <v>2</v>
      </c>
      <c r="E95" s="127">
        <v>1.5</v>
      </c>
      <c r="F95" s="105" t="s">
        <v>173</v>
      </c>
      <c r="G95" s="105" t="s">
        <v>48</v>
      </c>
      <c r="H95" s="123">
        <f t="shared" si="0"/>
        <v>8</v>
      </c>
      <c r="I95" s="48" t="s">
        <v>303</v>
      </c>
      <c r="J95" s="106" t="s">
        <v>262</v>
      </c>
      <c r="K95" s="46">
        <v>1</v>
      </c>
      <c r="L95" s="232" t="s">
        <v>364</v>
      </c>
      <c r="M95" s="42"/>
      <c r="N95" s="42"/>
      <c r="O95" s="42"/>
      <c r="P95" s="42"/>
      <c r="Q95" s="42"/>
      <c r="R95" s="42"/>
      <c r="S95" s="42"/>
      <c r="T95" s="42"/>
      <c r="U95" s="42"/>
      <c r="V95" s="42"/>
      <c r="W95" s="5"/>
      <c r="X95" s="5"/>
      <c r="Y95" s="5"/>
      <c r="Z95" s="5"/>
      <c r="AA95" s="5"/>
      <c r="AB95" s="5"/>
      <c r="AC95" s="5"/>
    </row>
    <row r="96" spans="1:29" ht="13.2">
      <c r="A96" s="65" t="s">
        <v>258</v>
      </c>
      <c r="B96" s="66" t="s">
        <v>45</v>
      </c>
      <c r="C96" s="126" t="s">
        <v>263</v>
      </c>
      <c r="D96" s="105">
        <v>2</v>
      </c>
      <c r="E96" s="120">
        <v>3</v>
      </c>
      <c r="F96" s="105" t="s">
        <v>173</v>
      </c>
      <c r="G96" s="105" t="s">
        <v>62</v>
      </c>
      <c r="H96" s="123">
        <f t="shared" si="0"/>
        <v>8</v>
      </c>
      <c r="I96" s="123" t="s">
        <v>50</v>
      </c>
      <c r="J96" s="106" t="s">
        <v>161</v>
      </c>
      <c r="K96" s="59">
        <v>2</v>
      </c>
      <c r="L96" s="232" t="s">
        <v>364</v>
      </c>
      <c r="M96" s="42"/>
      <c r="N96" s="42"/>
      <c r="O96" s="42"/>
      <c r="P96" s="42"/>
      <c r="Q96" s="42"/>
      <c r="R96" s="42"/>
      <c r="S96" s="42"/>
      <c r="T96" s="42"/>
      <c r="U96" s="42"/>
      <c r="V96" s="42"/>
      <c r="W96" s="5"/>
      <c r="X96" s="5"/>
      <c r="Y96" s="5"/>
      <c r="Z96" s="5"/>
      <c r="AA96" s="5"/>
      <c r="AB96" s="5"/>
      <c r="AC96" s="5"/>
    </row>
    <row r="97" spans="1:29" ht="13.2">
      <c r="A97" s="65" t="s">
        <v>258</v>
      </c>
      <c r="B97" s="66" t="s">
        <v>45</v>
      </c>
      <c r="C97" s="67" t="s">
        <v>264</v>
      </c>
      <c r="D97" s="20">
        <v>1</v>
      </c>
      <c r="E97" s="127">
        <v>1.5</v>
      </c>
      <c r="F97" s="105" t="s">
        <v>173</v>
      </c>
      <c r="G97" s="105" t="s">
        <v>48</v>
      </c>
      <c r="H97" s="123">
        <f t="shared" si="0"/>
        <v>4</v>
      </c>
      <c r="I97" s="48" t="s">
        <v>303</v>
      </c>
      <c r="J97" s="106" t="s">
        <v>265</v>
      </c>
      <c r="K97" s="46">
        <v>1</v>
      </c>
      <c r="L97" s="232" t="s">
        <v>364</v>
      </c>
      <c r="M97" s="42"/>
      <c r="N97" s="42"/>
      <c r="O97" s="42"/>
      <c r="P97" s="42"/>
      <c r="Q97" s="42"/>
      <c r="R97" s="42"/>
      <c r="S97" s="42"/>
      <c r="T97" s="42"/>
      <c r="U97" s="42"/>
      <c r="V97" s="42"/>
      <c r="W97" s="5"/>
      <c r="X97" s="5"/>
      <c r="Y97" s="5"/>
      <c r="Z97" s="5"/>
      <c r="AA97" s="5"/>
      <c r="AB97" s="5"/>
      <c r="AC97" s="5"/>
    </row>
    <row r="98" spans="1:29" ht="13.2">
      <c r="A98" s="65" t="s">
        <v>258</v>
      </c>
      <c r="B98" s="66" t="s">
        <v>45</v>
      </c>
      <c r="C98" s="67" t="s">
        <v>266</v>
      </c>
      <c r="D98" s="20">
        <v>3</v>
      </c>
      <c r="E98" s="127">
        <v>1.5</v>
      </c>
      <c r="F98" s="105" t="s">
        <v>173</v>
      </c>
      <c r="G98" s="105" t="s">
        <v>48</v>
      </c>
      <c r="H98" s="123">
        <f t="shared" si="0"/>
        <v>12</v>
      </c>
      <c r="I98" s="48" t="s">
        <v>303</v>
      </c>
      <c r="J98" s="130" t="s">
        <v>51</v>
      </c>
      <c r="K98" s="59">
        <v>2</v>
      </c>
      <c r="L98" s="232" t="s">
        <v>364</v>
      </c>
      <c r="M98" s="42"/>
      <c r="N98" s="42"/>
      <c r="O98" s="42"/>
      <c r="P98" s="42"/>
      <c r="Q98" s="42"/>
      <c r="R98" s="42"/>
      <c r="S98" s="42"/>
      <c r="T98" s="42"/>
      <c r="U98" s="42"/>
      <c r="V98" s="42"/>
      <c r="W98" s="5"/>
      <c r="X98" s="5"/>
      <c r="Y98" s="5"/>
      <c r="Z98" s="5"/>
      <c r="AA98" s="5"/>
      <c r="AB98" s="5"/>
      <c r="AC98" s="5"/>
    </row>
    <row r="99" spans="1:29" ht="13.2">
      <c r="A99" s="65" t="s">
        <v>258</v>
      </c>
      <c r="B99" s="66" t="s">
        <v>45</v>
      </c>
      <c r="C99" s="67" t="s">
        <v>267</v>
      </c>
      <c r="D99" s="20">
        <v>4</v>
      </c>
      <c r="E99" s="127">
        <v>1.5</v>
      </c>
      <c r="F99" s="105" t="s">
        <v>173</v>
      </c>
      <c r="G99" s="105" t="s">
        <v>48</v>
      </c>
      <c r="H99" s="123">
        <f t="shared" si="0"/>
        <v>16</v>
      </c>
      <c r="I99" s="48" t="s">
        <v>303</v>
      </c>
      <c r="J99" s="106" t="s">
        <v>268</v>
      </c>
      <c r="K99" s="46">
        <v>1</v>
      </c>
      <c r="L99" s="232" t="s">
        <v>364</v>
      </c>
      <c r="M99" s="42"/>
      <c r="N99" s="42"/>
      <c r="O99" s="42"/>
      <c r="P99" s="42"/>
      <c r="Q99" s="42"/>
      <c r="R99" s="42"/>
      <c r="S99" s="42"/>
      <c r="T99" s="42"/>
      <c r="U99" s="42"/>
      <c r="V99" s="42"/>
      <c r="W99" s="5"/>
      <c r="X99" s="5"/>
      <c r="Y99" s="5"/>
      <c r="Z99" s="5"/>
      <c r="AA99" s="5"/>
      <c r="AB99" s="5"/>
      <c r="AC99" s="5"/>
    </row>
    <row r="100" spans="1:29" ht="13.2">
      <c r="A100" s="65" t="s">
        <v>258</v>
      </c>
      <c r="B100" s="66" t="s">
        <v>45</v>
      </c>
      <c r="C100" s="67" t="s">
        <v>269</v>
      </c>
      <c r="D100" s="20">
        <v>1</v>
      </c>
      <c r="E100" s="127">
        <v>1.5</v>
      </c>
      <c r="F100" s="105" t="s">
        <v>173</v>
      </c>
      <c r="G100" s="105" t="s">
        <v>48</v>
      </c>
      <c r="H100" s="123">
        <f t="shared" si="0"/>
        <v>4</v>
      </c>
      <c r="I100" s="48" t="s">
        <v>303</v>
      </c>
      <c r="J100" s="106" t="s">
        <v>270</v>
      </c>
      <c r="K100" s="46">
        <v>1</v>
      </c>
      <c r="L100" s="232" t="s">
        <v>364</v>
      </c>
      <c r="M100" s="42"/>
      <c r="N100" s="42"/>
      <c r="O100" s="42"/>
      <c r="P100" s="42"/>
      <c r="Q100" s="42"/>
      <c r="R100" s="42"/>
      <c r="S100" s="42"/>
      <c r="T100" s="42"/>
      <c r="U100" s="42"/>
      <c r="V100" s="42"/>
      <c r="W100" s="5"/>
      <c r="X100" s="5"/>
      <c r="Y100" s="5"/>
      <c r="Z100" s="5"/>
      <c r="AA100" s="5"/>
      <c r="AB100" s="5"/>
      <c r="AC100" s="5"/>
    </row>
    <row r="101" spans="1:29" ht="13.2">
      <c r="A101" s="65" t="s">
        <v>258</v>
      </c>
      <c r="B101" s="66" t="s">
        <v>45</v>
      </c>
      <c r="C101" s="67" t="s">
        <v>271</v>
      </c>
      <c r="D101" s="20">
        <v>1</v>
      </c>
      <c r="E101" s="127">
        <v>1.5</v>
      </c>
      <c r="F101" s="105" t="s">
        <v>173</v>
      </c>
      <c r="G101" s="105" t="s">
        <v>48</v>
      </c>
      <c r="H101" s="123"/>
      <c r="I101" s="48" t="s">
        <v>303</v>
      </c>
      <c r="J101" s="106" t="s">
        <v>260</v>
      </c>
      <c r="K101" s="46">
        <v>1</v>
      </c>
      <c r="L101" s="232" t="s">
        <v>364</v>
      </c>
      <c r="M101" s="42"/>
      <c r="N101" s="42"/>
      <c r="O101" s="42"/>
      <c r="P101" s="42"/>
      <c r="Q101" s="42"/>
      <c r="R101" s="42"/>
      <c r="S101" s="42"/>
      <c r="T101" s="42"/>
      <c r="U101" s="42"/>
      <c r="V101" s="42"/>
      <c r="W101" s="5"/>
      <c r="X101" s="5"/>
      <c r="Y101" s="5"/>
      <c r="Z101" s="5"/>
      <c r="AA101" s="5"/>
      <c r="AB101" s="5"/>
      <c r="AC101" s="5"/>
    </row>
    <row r="102" spans="1:29" ht="13.2">
      <c r="A102" s="210" t="s">
        <v>258</v>
      </c>
      <c r="B102" s="210" t="s">
        <v>45</v>
      </c>
      <c r="C102" s="259" t="s">
        <v>272</v>
      </c>
      <c r="D102" s="20">
        <v>6</v>
      </c>
      <c r="E102" s="127">
        <v>1.5</v>
      </c>
      <c r="F102" s="105" t="s">
        <v>180</v>
      </c>
      <c r="G102" s="105" t="s">
        <v>48</v>
      </c>
      <c r="H102" s="123">
        <f>4*D102</f>
        <v>24</v>
      </c>
      <c r="I102" s="48" t="s">
        <v>303</v>
      </c>
      <c r="J102" s="106" t="s">
        <v>260</v>
      </c>
      <c r="K102" s="46">
        <v>1</v>
      </c>
      <c r="L102" s="232" t="s">
        <v>364</v>
      </c>
      <c r="M102" s="42"/>
      <c r="N102" s="42"/>
      <c r="O102" s="42"/>
      <c r="P102" s="42"/>
      <c r="Q102" s="42"/>
      <c r="R102" s="42"/>
      <c r="S102" s="42"/>
      <c r="T102" s="42"/>
      <c r="U102" s="42"/>
      <c r="V102" s="42"/>
      <c r="W102" s="5"/>
      <c r="X102" s="5"/>
      <c r="Y102" s="5"/>
      <c r="Z102" s="5"/>
      <c r="AA102" s="5"/>
      <c r="AB102" s="5"/>
      <c r="AC102" s="5"/>
    </row>
    <row r="103" spans="1:29" ht="13.2">
      <c r="A103" s="260" t="s">
        <v>258</v>
      </c>
      <c r="B103" s="260" t="s">
        <v>73</v>
      </c>
      <c r="C103" s="67" t="s">
        <v>273</v>
      </c>
      <c r="D103" s="105">
        <v>1</v>
      </c>
      <c r="E103" s="139">
        <v>2</v>
      </c>
      <c r="F103" s="105" t="s">
        <v>201</v>
      </c>
      <c r="G103" s="105" t="s">
        <v>190</v>
      </c>
      <c r="H103" s="123"/>
      <c r="I103" s="20" t="s">
        <v>167</v>
      </c>
      <c r="J103" s="106" t="s">
        <v>274</v>
      </c>
      <c r="K103" s="123"/>
      <c r="L103" s="42"/>
      <c r="M103" s="42"/>
      <c r="N103" s="42"/>
      <c r="O103" s="42"/>
      <c r="P103" s="42"/>
      <c r="Q103" s="42"/>
      <c r="R103" s="42"/>
      <c r="S103" s="42"/>
      <c r="T103" s="42"/>
      <c r="U103" s="42"/>
      <c r="V103" s="42"/>
      <c r="W103" s="5"/>
      <c r="X103" s="5"/>
      <c r="Y103" s="5"/>
      <c r="Z103" s="5"/>
      <c r="AA103" s="5"/>
      <c r="AB103" s="5"/>
      <c r="AC103" s="5"/>
    </row>
    <row r="104" spans="1:29" ht="13.2">
      <c r="A104" s="42"/>
      <c r="B104" s="5"/>
      <c r="C104" s="6"/>
      <c r="D104" s="5"/>
      <c r="E104" s="5"/>
      <c r="F104" s="5"/>
      <c r="G104" s="5"/>
      <c r="H104" s="5"/>
      <c r="I104" s="42"/>
      <c r="J104" s="42"/>
      <c r="K104" s="42"/>
      <c r="L104" s="42"/>
      <c r="M104" s="42"/>
      <c r="N104" s="42"/>
      <c r="O104" s="42"/>
      <c r="P104" s="42"/>
      <c r="Q104" s="42"/>
      <c r="R104" s="42"/>
      <c r="S104" s="42"/>
      <c r="T104" s="42"/>
      <c r="U104" s="42"/>
      <c r="V104" s="42"/>
      <c r="W104" s="5"/>
      <c r="X104" s="5"/>
      <c r="Y104" s="5"/>
      <c r="Z104" s="5"/>
      <c r="AA104" s="5"/>
      <c r="AB104" s="5"/>
      <c r="AC104" s="5"/>
    </row>
    <row r="105" spans="1:29" ht="13.2">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3.2">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3.2">
      <c r="C107" s="6"/>
      <c r="D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3.2">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3.2">
      <c r="A109" s="42"/>
      <c r="B109" s="5"/>
      <c r="C109" s="6"/>
      <c r="D109" s="5"/>
      <c r="E109" s="5"/>
      <c r="F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3.2">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3.2">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3.2">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3.2">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3.2">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3.2">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3.2">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3.2">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3.2">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3.2">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3.2">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3.2">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3.2">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3.2">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3.2">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3.2">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3.2">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3.2">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3.2">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3.2">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3.2">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3.2">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3.2">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3.2">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3.2">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3.2">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3.2">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3.2">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3.2">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3.2">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3.2">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3.2">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3.2">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3.2">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3.2">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3.2">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3.2">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3.2">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3.2">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3.2">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3.2">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3.2">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3.2">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3.2">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3.2">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3.2">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3.2">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3.2">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3.2">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3.2">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3.2">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3.2">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3.2">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3.2">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3.2">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3.2">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3.2">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3.2">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3.2">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3.2">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3.2">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3.2">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3.2">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3.2">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3.2">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3.2">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3.2">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3.2">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3.2">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3.2">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3.2">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3.2">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3.2">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3.2">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3.2">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3.2">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3.2">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3.2">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3.2">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3.2">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3.2">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3.2">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3.2">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3.2">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3.2">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3.2">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3.2">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3.2">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3.2">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3.2">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3.2">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3.2">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3.2">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3.2">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3.2">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3.2">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3.2">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3.2">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3.2">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3.2">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3.2">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3.2">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3.2">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3.2">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3.2">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3.2">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3.2">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3.2">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3.2">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3.2">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3.2">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3.2">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3.2">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3.2">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3.2">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3.2">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3.2">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3.2">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3.2">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3.2">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3.2">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3.2">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3.2">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3.2">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3.2">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3.2">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3.2">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3.2">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3.2">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3.2">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3.2">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3.2">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3.2">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3.2">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3.2">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3.2">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3.2">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3.2">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3.2">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3.2">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3.2">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3.2">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3.2">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3.2">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3.2">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3.2">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3.2">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3.2">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3.2">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3.2">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3.2">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3.2">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3.2">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3.2">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3.2">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3.2">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3.2">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3.2">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3.2">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3.2">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3.2">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3.2">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3.2">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3.2">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3.2">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3.2">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3.2">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3.2">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3.2">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3.2">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3.2">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3.2">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3.2">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3.2">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3.2">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3.2">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3.2">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3.2">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3.2">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3.2">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3.2">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3.2">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3.2">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3.2">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3.2">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3.2">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3.2">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3.2">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3.2">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3.2">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3.2">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3.2">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3.2">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3.2">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3.2">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3.2">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3.2">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3.2">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3.2">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3.2">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3.2">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3.2">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3.2">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3.2">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3.2">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3.2">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3.2">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3.2">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3.2">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3.2">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3.2">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3.2">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3.2">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3.2">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3.2">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3.2">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3.2">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3.2">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3.2">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3.2">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3.2">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3.2">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3.2">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3.2">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3.2">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3.2">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3.2">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3.2">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3.2">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3.2">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3.2">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3.2">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3.2">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3.2">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3.2">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3.2">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3.2">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3.2">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3.2">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3.2">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3.2">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3.2">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3.2">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3.2">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3.2">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3.2">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3.2">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3.2">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3.2">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3.2">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3.2">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3.2">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3.2">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3.2">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3.2">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3.2">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3.2">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3.2">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3.2">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3.2">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3.2">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3.2">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3.2">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3.2">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3.2">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3.2">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3.2">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3.2">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3.2">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3.2">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3.2">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3.2">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3.2">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3.2">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3.2">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3.2">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3.2">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3.2">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3.2">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3.2">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3.2">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3.2">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3.2">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3.2">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3.2">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3.2">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3.2">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3.2">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3.2">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3.2">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3.2">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3.2">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3.2">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3.2">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3.2">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3.2">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3.2">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3.2">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3.2">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3.2">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3.2">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3.2">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3.2">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3.2">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3.2">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3.2">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3.2">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3.2">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3.2">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3.2">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3.2">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3.2">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3.2">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3.2">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3.2">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3.2">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3.2">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3.2">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3.2">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3.2">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3.2">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3.2">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3.2">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3.2">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3.2">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3.2">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3.2">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3.2">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3.2">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3.2">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3.2">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3.2">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3.2">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3.2">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3.2">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3.2">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3.2">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3.2">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3.2">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3.2">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3.2">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3.2">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3.2">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3.2">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3.2">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3.2">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3.2">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3.2">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3.2">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3.2">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3.2">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3.2">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3.2">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3.2">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3.2">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3.2">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3.2">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3.2">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3.2">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3.2">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3.2">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3.2">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3.2">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3.2">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3.2">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3.2">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3.2">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3.2">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3.2">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3.2">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3.2">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3.2">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3.2">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3.2">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3.2">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3.2">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3.2">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3.2">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3.2">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3.2">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3.2">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3.2">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3.2">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3.2">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3.2">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3.2">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3.2">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3.2">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3.2">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3.2">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3.2">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3.2">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3.2">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3.2">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3.2">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3.2">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3.2">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3.2">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3.2">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3.2">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3.2">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3.2">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3.2">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3.2">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3.2">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3.2">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3.2">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3.2">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3.2">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3.2">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3.2">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3.2">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3.2">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3.2">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3.2">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3.2">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3.2">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3.2">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3.2">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3.2">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3.2">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3.2">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3.2">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3.2">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3.2">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3.2">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3.2">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3.2">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3.2">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3.2">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3.2">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3.2">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3.2">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3.2">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3.2">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3.2">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3.2">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3.2">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3.2">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3.2">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3.2">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3.2">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3.2">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3.2">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3.2">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3.2">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3.2">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3.2">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3.2">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3.2">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3.2">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3.2">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3.2">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3.2">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3.2">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3.2">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3.2">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3.2">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3.2">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3.2">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3.2">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3.2">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3.2">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3.2">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3.2">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3.2">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3.2">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3.2">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3.2">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3.2">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3.2">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3.2">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3.2">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3.2">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3.2">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3.2">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3.2">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3.2">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3.2">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3.2">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3.2">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3.2">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3.2">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3.2">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3.2">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3.2">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3.2">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3.2">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3.2">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3.2">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3.2">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3.2">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3.2">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3.2">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3.2">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3.2">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3.2">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3.2">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3.2">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3.2">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3.2">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3.2">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3.2">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3.2">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3.2">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3.2">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3.2">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3.2">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3.2">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3.2">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3.2">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3.2">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3.2">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3.2">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3.2">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3.2">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3.2">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3.2">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3.2">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3.2">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3.2">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3.2">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3.2">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3.2">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3.2">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3.2">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3.2">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3.2">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3.2">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3.2">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3.2">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3.2">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3.2">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3.2">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3.2">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3.2">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3.2">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3.2">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3.2">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3.2">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3.2">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3.2">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3.2">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3.2">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3.2">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3.2">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3.2">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3.2">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3.2">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3.2">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3.2">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3.2">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3.2">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3.2">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3.2">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3.2">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3.2">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3.2">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3.2">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3.2">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3.2">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3.2">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3.2">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3.2">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3.2">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3.2">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3.2">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3.2">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3.2">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3.2">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3.2">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3.2">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3.2">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3.2">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3.2">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3.2">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3.2">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3.2">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3.2">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3.2">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3.2">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3.2">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3.2">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3.2">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3.2">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3.2">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3.2">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3.2">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3.2">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3.2">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3.2">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3.2">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3.2">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3.2">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3.2">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3.2">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3.2">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3.2">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3.2">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3.2">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3.2">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3.2">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3.2">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3.2">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3.2">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3.2">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3.2">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3.2">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3.2">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3.2">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3.2">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3.2">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3.2">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3.2">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3.2">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3.2">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3.2">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3.2">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3.2">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3.2">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3.2">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3.2">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3.2">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3.2">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3.2">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3.2">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3.2">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3.2">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3.2">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3.2">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3.2">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3.2">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3.2">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3.2">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3.2">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3.2">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3.2">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3.2">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3.2">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3.2">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3.2">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3.2">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3.2">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3.2">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3.2">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3.2">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3.2">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3.2">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3.2">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3.2">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3.2">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3.2">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3.2">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3.2">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3.2">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3.2">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3.2">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3.2">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3.2">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3.2">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3.2">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3.2">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3.2">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3.2">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3.2">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3.2">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3.2">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3.2">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3.2">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3.2">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3.2">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3.2">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3.2">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3.2">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3.2">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3.2">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3.2">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3.2">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3.2">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3.2">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3.2">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3.2">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3.2">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3.2">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3.2">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3.2">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3.2">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3.2">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3.2">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3.2">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3.2">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3.2">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3.2">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3.2">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3.2">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3.2">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3.2">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3.2">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3.2">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3.2">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3.2">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3.2">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3.2">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3.2">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3.2">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3.2">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3.2">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3.2">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3.2">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3.2">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3.2">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3.2">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3.2">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3.2">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3.2">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3.2">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3.2">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3.2">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3.2">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3.2">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3.2">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3.2">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3.2">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3.2">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3.2">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3.2">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3.2">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3.2">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3.2">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3.2">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3.2">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3.2">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3.2">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3.2">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3.2">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3.2">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3.2">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3.2">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3.2">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3.2">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3.2">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3.2">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3.2">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3.2">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3.2">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3.2">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3.2">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3.2">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3.2">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3.2">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3.2">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3.2">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3.2">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3.2">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3.2">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3.2">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3.2">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3.2">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3.2">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3.2">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3.2">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3.2">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3.2">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3.2">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3.2">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3.2">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3.2">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3.2">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3.2">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3.2">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3.2">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3.2">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3.2">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3.2">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3.2">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3.2">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3.2">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3.2">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3.2">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3.2">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3.2">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3.2">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3.2">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3.2">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3.2">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3.2">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3.2">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3.2">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3.2">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3.2">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3.2">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3.2">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3.2">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3.2">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3.2">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3.2">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3.2">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3.2">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3.2">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3.2">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3.2">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3.2">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3.2">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3.2">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3.2">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3.2">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3.2">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3.2">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3.2">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3.2">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3.2">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3.2">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3.2">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3.2">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3.2">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3.2">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3.2">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3.2">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3.2">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3.2">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3.2">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3.2">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3.2">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3.2">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3.2">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3.2">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3.2">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3.2">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3.2">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3.2">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3.2">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3.2">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3.2">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3.2">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3.2">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3.2">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3.2">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3.2">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3.2">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3.2">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3.2">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3.2">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3.2">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3.2">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3.2">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3.2">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3.2">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3.2">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3.2">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3.2">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3.2">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3.2">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3.2">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3.2">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3.2">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3.2">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3.2">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3.2">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3.2">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3.2">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3.2">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3.2">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3.2">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3.2">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3.2">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3.2">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3.2">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3.2">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3.2">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3.2">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3.2">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3.2">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3.2">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3.2">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3.2">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3.2">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3.2">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3.2">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3.2">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3.2">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3.2">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3.2">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3.2">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3.2">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3.2">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3.2">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3.2">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3.2">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3.2">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3.2">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3.2">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3.2">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3.2">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3.2">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3.2">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3.2">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3.2">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3.2">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3.2">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3.2">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3.2">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3.2">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3.2">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3.2">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3.2">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3.2">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3.2">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3.2">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3.2">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3.2">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3.2">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3.2">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3.2">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3.2">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3.2">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3.2">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3.2">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3.2">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3.2">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3.2">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3.2">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3.2">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3.2">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3.2">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3.2">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3.2">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3.2">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3.2">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3.2">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3.2">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3.2">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3.2">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3.2">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3.2">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3.2">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3.2">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3.2">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3.2">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3.2">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3.2">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3.2">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3.2">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3.2">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3.2">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3.2">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3.2">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3.2">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3.2">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3.2">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3.2">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3.2">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3.2">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3.2">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3.2">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3.2">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3.2">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3.2">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3.2">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3.2">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3.2">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3.2">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3.2">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3.2">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3.2">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3.2">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3.2">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3.2">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3.2">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3.2">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3.2">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3.2">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3.2">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3.2">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3.2">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3.2">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3.2">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3.2">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3.2">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3.2">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3.2">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3.2">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3.2">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3.2">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3.2">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3.2">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3.2">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3.2">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3.2">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3.2">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3.2">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3.2">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3.2">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3.2">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3.2">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3.2">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29" ht="13.2">
      <c r="L1105" s="42"/>
      <c r="M1105" s="42"/>
      <c r="N1105" s="42"/>
      <c r="O1105" s="42"/>
      <c r="P1105" s="42"/>
      <c r="Q1105" s="42"/>
      <c r="R1105" s="42"/>
      <c r="S1105" s="42"/>
      <c r="T1105" s="42"/>
      <c r="U1105" s="42"/>
      <c r="V1105" s="42"/>
      <c r="W1105" s="5"/>
      <c r="X1105" s="5"/>
      <c r="Y1105" s="5"/>
      <c r="Z1105" s="5"/>
      <c r="AA1105" s="5"/>
      <c r="AB1105" s="5"/>
      <c r="AC1105" s="5"/>
    </row>
  </sheetData>
  <autoFilter ref="A25:J103" xr:uid="{00000000-0009-0000-0000-000003000000}"/>
  <customSheetViews>
    <customSheetView guid="{FFD1D3DF-AC67-4F1F-BAFB-92C0D7600335}" filter="1" showAutoFilter="1">
      <pageMargins left="0.7" right="0.7" top="0.75" bottom="0.75" header="0.3" footer="0.3"/>
      <autoFilter ref="J23:J97" xr:uid="{00000000-0000-0000-0000-000000000000}"/>
    </customSheetView>
    <customSheetView guid="{48220F53-A753-4F0D-A1B0-4DC5693E83E9}" filter="1" showAutoFilter="1">
      <pageMargins left="0.7" right="0.7" top="0.75" bottom="0.75" header="0.3" footer="0.3"/>
      <autoFilter ref="K23:K97" xr:uid="{00000000-0000-0000-0000-000000000000}"/>
    </customSheetView>
  </customSheetViews>
  <mergeCells count="6">
    <mergeCell ref="A6:K7"/>
    <mergeCell ref="C20:E20"/>
    <mergeCell ref="A20:A22"/>
    <mergeCell ref="A15:B15"/>
    <mergeCell ref="E10:E11"/>
    <mergeCell ref="A16:E16"/>
  </mergeCells>
  <conditionalFormatting sqref="I78 I80 I55:I56 I99:I102 I97 I94:I95 I83">
    <cfRule type="cellIs" dxfId="69" priority="66" operator="equal">
      <formula>"Prêt à partir"</formula>
    </cfRule>
  </conditionalFormatting>
  <conditionalFormatting sqref="I94:I95 I87:I92 I97:I103 I26:I83">
    <cfRule type="cellIs" dxfId="68" priority="67" operator="equal">
      <formula>"MEP validée"</formula>
    </cfRule>
  </conditionalFormatting>
  <conditionalFormatting sqref="I94:I95 I87:I92 I97:I103 I26:I83">
    <cfRule type="cellIs" dxfId="67" priority="68" operator="equal">
      <formula>"MEP à vérifier"</formula>
    </cfRule>
  </conditionalFormatting>
  <conditionalFormatting sqref="I94:I95 I87:I92 I97:I103 I26:I83">
    <cfRule type="cellIs" dxfId="66" priority="69" operator="equal">
      <formula>"MEP en cours"</formula>
    </cfRule>
  </conditionalFormatting>
  <conditionalFormatting sqref="I94:I95 I87:I92 I97:I103 I26:I83">
    <cfRule type="cellIs" dxfId="65" priority="70" operator="equal">
      <formula>"En production"</formula>
    </cfRule>
  </conditionalFormatting>
  <conditionalFormatting sqref="I94:I95 I87:I92 I97:I103 I26:I83">
    <cfRule type="cellIs" dxfId="64" priority="71" operator="equal">
      <formula>"Reçu"</formula>
    </cfRule>
  </conditionalFormatting>
  <conditionalFormatting sqref="I94:I95 I87:I92 I97:I103 I26:I83">
    <cfRule type="cellIs" dxfId="63" priority="72" operator="equal">
      <formula>"Prêt à partir"</formula>
    </cfRule>
  </conditionalFormatting>
  <conditionalFormatting sqref="I86">
    <cfRule type="cellIs" dxfId="62" priority="53" operator="equal">
      <formula>"Prêt à partir"</formula>
    </cfRule>
  </conditionalFormatting>
  <conditionalFormatting sqref="I86">
    <cfRule type="cellIs" dxfId="61" priority="54" operator="equal">
      <formula>"MEP validée"</formula>
    </cfRule>
  </conditionalFormatting>
  <conditionalFormatting sqref="I86">
    <cfRule type="cellIs" dxfId="60" priority="55" operator="equal">
      <formula>"MEP à vérifier"</formula>
    </cfRule>
  </conditionalFormatting>
  <conditionalFormatting sqref="I86">
    <cfRule type="cellIs" dxfId="59" priority="56" operator="equal">
      <formula>"MEP en cours"</formula>
    </cfRule>
  </conditionalFormatting>
  <conditionalFormatting sqref="I86">
    <cfRule type="cellIs" dxfId="58" priority="57" operator="equal">
      <formula>"En production"</formula>
    </cfRule>
  </conditionalFormatting>
  <conditionalFormatting sqref="I86">
    <cfRule type="cellIs" dxfId="57" priority="58" operator="equal">
      <formula>"Reçu"</formula>
    </cfRule>
  </conditionalFormatting>
  <conditionalFormatting sqref="I86">
    <cfRule type="cellIs" dxfId="56" priority="59" operator="equal">
      <formula>"Prêt à partir"</formula>
    </cfRule>
  </conditionalFormatting>
  <conditionalFormatting sqref="I98">
    <cfRule type="cellIs" dxfId="55" priority="52" operator="equal">
      <formula>"Prêt à partir"</formula>
    </cfRule>
  </conditionalFormatting>
  <conditionalFormatting sqref="I43">
    <cfRule type="cellIs" dxfId="54" priority="51" operator="equal">
      <formula>"Prêt à partir"</formula>
    </cfRule>
  </conditionalFormatting>
  <conditionalFormatting sqref="I44">
    <cfRule type="cellIs" dxfId="53" priority="50" operator="equal">
      <formula>"Prêt à partir"</formula>
    </cfRule>
  </conditionalFormatting>
  <conditionalFormatting sqref="I93">
    <cfRule type="cellIs" dxfId="52" priority="19" operator="equal">
      <formula>"MEP validée"</formula>
    </cfRule>
  </conditionalFormatting>
  <conditionalFormatting sqref="I93">
    <cfRule type="cellIs" dxfId="51" priority="20" operator="equal">
      <formula>"MEP à vérifier"</formula>
    </cfRule>
  </conditionalFormatting>
  <conditionalFormatting sqref="I93">
    <cfRule type="cellIs" dxfId="50" priority="21" operator="equal">
      <formula>"MEP en cours"</formula>
    </cfRule>
  </conditionalFormatting>
  <conditionalFormatting sqref="I93">
    <cfRule type="cellIs" dxfId="49" priority="22" operator="equal">
      <formula>"En production"</formula>
    </cfRule>
  </conditionalFormatting>
  <conditionalFormatting sqref="I93">
    <cfRule type="cellIs" dxfId="48" priority="23" operator="equal">
      <formula>"Reçu"</formula>
    </cfRule>
  </conditionalFormatting>
  <conditionalFormatting sqref="I93">
    <cfRule type="cellIs" dxfId="47" priority="24" operator="equal">
      <formula>"Prêt à partir"</formula>
    </cfRule>
  </conditionalFormatting>
  <conditionalFormatting sqref="I84">
    <cfRule type="cellIs" dxfId="46" priority="13" operator="equal">
      <formula>"MEP validée"</formula>
    </cfRule>
  </conditionalFormatting>
  <conditionalFormatting sqref="I84">
    <cfRule type="cellIs" dxfId="45" priority="14" operator="equal">
      <formula>"MEP à vérifier"</formula>
    </cfRule>
  </conditionalFormatting>
  <conditionalFormatting sqref="I84">
    <cfRule type="cellIs" dxfId="44" priority="15" operator="equal">
      <formula>"MEP en cours"</formula>
    </cfRule>
  </conditionalFormatting>
  <conditionalFormatting sqref="I84">
    <cfRule type="cellIs" dxfId="43" priority="16" operator="equal">
      <formula>"En production"</formula>
    </cfRule>
  </conditionalFormatting>
  <conditionalFormatting sqref="I84">
    <cfRule type="cellIs" dxfId="42" priority="17" operator="equal">
      <formula>"Reçu"</formula>
    </cfRule>
  </conditionalFormatting>
  <conditionalFormatting sqref="I84">
    <cfRule type="cellIs" dxfId="41" priority="18" operator="equal">
      <formula>"Prêt à partir"</formula>
    </cfRule>
  </conditionalFormatting>
  <conditionalFormatting sqref="I85">
    <cfRule type="cellIs" dxfId="40" priority="7" operator="equal">
      <formula>"MEP validée"</formula>
    </cfRule>
  </conditionalFormatting>
  <conditionalFormatting sqref="I85">
    <cfRule type="cellIs" dxfId="39" priority="8" operator="equal">
      <formula>"MEP à vérifier"</formula>
    </cfRule>
  </conditionalFormatting>
  <conditionalFormatting sqref="I85">
    <cfRule type="cellIs" dxfId="38" priority="9" operator="equal">
      <formula>"MEP en cours"</formula>
    </cfRule>
  </conditionalFormatting>
  <conditionalFormatting sqref="I85">
    <cfRule type="cellIs" dxfId="37" priority="10" operator="equal">
      <formula>"En production"</formula>
    </cfRule>
  </conditionalFormatting>
  <conditionalFormatting sqref="I85">
    <cfRule type="cellIs" dxfId="36" priority="11" operator="equal">
      <formula>"Reçu"</formula>
    </cfRule>
  </conditionalFormatting>
  <conditionalFormatting sqref="I85">
    <cfRule type="cellIs" dxfId="35" priority="12" operator="equal">
      <formula>"Prêt à partir"</formula>
    </cfRule>
  </conditionalFormatting>
  <conditionalFormatting sqref="I96">
    <cfRule type="cellIs" dxfId="34" priority="1" operator="equal">
      <formula>"MEP validée"</formula>
    </cfRule>
  </conditionalFormatting>
  <conditionalFormatting sqref="I96">
    <cfRule type="cellIs" dxfId="33" priority="2" operator="equal">
      <formula>"MEP à vérifier"</formula>
    </cfRule>
  </conditionalFormatting>
  <conditionalFormatting sqref="I96">
    <cfRule type="cellIs" dxfId="32" priority="3" operator="equal">
      <formula>"MEP en cours"</formula>
    </cfRule>
  </conditionalFormatting>
  <conditionalFormatting sqref="I96">
    <cfRule type="cellIs" dxfId="31" priority="4" operator="equal">
      <formula>"En production"</formula>
    </cfRule>
  </conditionalFormatting>
  <conditionalFormatting sqref="I96">
    <cfRule type="cellIs" dxfId="30" priority="5" operator="equal">
      <formula>"Reçu"</formula>
    </cfRule>
  </conditionalFormatting>
  <conditionalFormatting sqref="I96">
    <cfRule type="cellIs" dxfId="29"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Statistiques!$A$6:$A$16</xm:f>
          </x14:formula1>
          <xm:sqref>I26:I103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pageSetUpPr fitToPage="1"/>
  </sheetPr>
  <dimension ref="A1:AB1033"/>
  <sheetViews>
    <sheetView showGridLines="0" view="pageLayout" zoomScale="70" zoomScaleNormal="85" zoomScalePageLayoutView="70" workbookViewId="0">
      <selection activeCell="C50" sqref="C50"/>
    </sheetView>
  </sheetViews>
  <sheetFormatPr defaultColWidth="14.44140625" defaultRowHeight="15.75" customHeight="1"/>
  <cols>
    <col min="1" max="1" width="28" customWidth="1"/>
    <col min="2" max="2" width="17.77734375" customWidth="1"/>
    <col min="3" max="3" width="40" customWidth="1"/>
    <col min="4" max="4" width="12.21875" customWidth="1"/>
    <col min="5" max="5" width="30" customWidth="1"/>
    <col min="6" max="6" width="45.21875" customWidth="1"/>
    <col min="7" max="7" width="13.77734375" customWidth="1"/>
    <col min="8" max="8" width="28.21875" customWidth="1"/>
  </cols>
  <sheetData>
    <row r="1" spans="1:28" ht="15.75" customHeight="1">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1" t="s">
        <v>1</v>
      </c>
      <c r="B5" s="302"/>
      <c r="C5" s="302"/>
      <c r="D5" s="302"/>
      <c r="E5" s="302"/>
      <c r="F5" s="302"/>
      <c r="G5" s="302"/>
      <c r="H5" s="302"/>
      <c r="I5" s="302"/>
      <c r="J5" s="303"/>
      <c r="K5" s="1"/>
      <c r="L5" s="1"/>
      <c r="M5" s="1"/>
      <c r="N5" s="1"/>
      <c r="O5" s="1"/>
      <c r="P5" s="1"/>
      <c r="Q5" s="1"/>
      <c r="R5" s="1"/>
      <c r="S5" s="1"/>
      <c r="T5" s="1"/>
      <c r="U5" s="1"/>
      <c r="V5" s="1"/>
      <c r="W5" s="1"/>
      <c r="X5" s="1"/>
      <c r="Y5" s="1"/>
      <c r="Z5" s="1"/>
      <c r="AA5" s="1"/>
      <c r="AB5" s="1"/>
    </row>
    <row r="6" spans="1:28" ht="15.75" customHeight="1">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c r="A8" s="13" t="s">
        <v>4</v>
      </c>
      <c r="B8" s="1"/>
      <c r="C8" s="1"/>
      <c r="D8" s="1"/>
      <c r="E8" s="300"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c r="A9" s="1"/>
      <c r="B9" s="1"/>
      <c r="C9" s="1"/>
      <c r="D9" s="1"/>
      <c r="E9" s="297"/>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c r="A11" s="22" t="s">
        <v>29</v>
      </c>
      <c r="B11" s="30">
        <f ca="1">TODAY()</f>
        <v>43508</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c r="A14" s="35" t="s">
        <v>32</v>
      </c>
      <c r="B14" s="35" t="s">
        <v>34</v>
      </c>
      <c r="C14" s="35" t="s">
        <v>35</v>
      </c>
      <c r="D14" s="35" t="s">
        <v>36</v>
      </c>
      <c r="E14" s="35" t="s">
        <v>37</v>
      </c>
      <c r="F14" s="35" t="s">
        <v>38</v>
      </c>
      <c r="G14" s="35" t="s">
        <v>39</v>
      </c>
      <c r="H14" s="37" t="s">
        <v>40</v>
      </c>
      <c r="I14" s="36" t="s">
        <v>41</v>
      </c>
      <c r="J14" s="38" t="s">
        <v>42</v>
      </c>
      <c r="K14" s="233" t="s">
        <v>365</v>
      </c>
      <c r="L14" s="12"/>
      <c r="M14" s="12"/>
      <c r="N14" s="12"/>
      <c r="O14" s="12"/>
      <c r="P14" s="12"/>
      <c r="Q14" s="12"/>
      <c r="R14" s="12"/>
      <c r="S14" s="12"/>
      <c r="T14" s="12"/>
      <c r="U14" s="12"/>
      <c r="V14" s="1"/>
      <c r="W14" s="1"/>
      <c r="X14" s="1"/>
      <c r="Y14" s="1"/>
      <c r="Z14" s="1"/>
      <c r="AA14" s="1"/>
      <c r="AB14" s="1"/>
    </row>
    <row r="15" spans="1:28" ht="15.75" customHeight="1">
      <c r="A15" s="39" t="s">
        <v>44</v>
      </c>
      <c r="B15" s="40" t="s">
        <v>45</v>
      </c>
      <c r="C15" s="44" t="s">
        <v>49</v>
      </c>
      <c r="D15" s="44">
        <v>80</v>
      </c>
      <c r="E15" s="47" t="s">
        <v>52</v>
      </c>
      <c r="F15" s="44" t="s">
        <v>47</v>
      </c>
      <c r="G15" s="49" t="s">
        <v>55</v>
      </c>
      <c r="H15" s="20" t="s">
        <v>50</v>
      </c>
      <c r="I15" s="45" t="s">
        <v>59</v>
      </c>
      <c r="J15" s="46">
        <v>1</v>
      </c>
      <c r="K15" s="12"/>
      <c r="L15" s="12"/>
      <c r="M15" s="12"/>
      <c r="N15" s="12"/>
      <c r="O15" s="12"/>
      <c r="P15" s="12"/>
      <c r="Q15" s="12"/>
      <c r="R15" s="12"/>
      <c r="S15" s="12"/>
      <c r="T15" s="12"/>
      <c r="U15" s="12"/>
      <c r="V15" s="1"/>
      <c r="W15" s="1"/>
      <c r="X15" s="1"/>
      <c r="Y15" s="1"/>
      <c r="Z15" s="1"/>
      <c r="AA15" s="1"/>
      <c r="AB15" s="1"/>
    </row>
    <row r="16" spans="1:28" ht="15.75" customHeight="1">
      <c r="A16" s="39" t="s">
        <v>44</v>
      </c>
      <c r="B16" s="40" t="s">
        <v>45</v>
      </c>
      <c r="C16" s="44" t="s">
        <v>64</v>
      </c>
      <c r="D16" s="44">
        <v>36</v>
      </c>
      <c r="E16" s="47" t="s">
        <v>52</v>
      </c>
      <c r="F16" s="44" t="s">
        <v>47</v>
      </c>
      <c r="G16" s="49" t="s">
        <v>55</v>
      </c>
      <c r="H16" s="20" t="s">
        <v>50</v>
      </c>
      <c r="I16" s="45" t="s">
        <v>59</v>
      </c>
      <c r="J16" s="46">
        <v>1</v>
      </c>
      <c r="K16" s="12"/>
      <c r="L16" s="12"/>
      <c r="M16" s="12"/>
      <c r="N16" s="12"/>
      <c r="O16" s="12"/>
      <c r="P16" s="12"/>
      <c r="Q16" s="12"/>
      <c r="R16" s="12"/>
      <c r="S16" s="12"/>
      <c r="T16" s="12"/>
      <c r="U16" s="12"/>
      <c r="V16" s="1"/>
      <c r="W16" s="1"/>
      <c r="X16" s="1"/>
      <c r="Y16" s="1"/>
      <c r="Z16" s="1"/>
      <c r="AA16" s="1"/>
      <c r="AB16" s="1"/>
    </row>
    <row r="17" spans="1:28" ht="15.75" customHeight="1">
      <c r="A17" s="39" t="s">
        <v>44</v>
      </c>
      <c r="B17" s="40" t="s">
        <v>45</v>
      </c>
      <c r="C17" s="44" t="s">
        <v>67</v>
      </c>
      <c r="D17" s="44">
        <v>24</v>
      </c>
      <c r="E17" s="47" t="s">
        <v>52</v>
      </c>
      <c r="F17" s="44" t="s">
        <v>47</v>
      </c>
      <c r="G17" s="49" t="s">
        <v>55</v>
      </c>
      <c r="H17" s="20" t="s">
        <v>50</v>
      </c>
      <c r="I17" s="45" t="s">
        <v>59</v>
      </c>
      <c r="J17" s="46">
        <v>1</v>
      </c>
      <c r="K17" s="12"/>
      <c r="L17" s="12"/>
      <c r="M17" s="12"/>
      <c r="N17" s="12"/>
      <c r="O17" s="12"/>
      <c r="P17" s="12"/>
      <c r="Q17" s="12"/>
      <c r="R17" s="12"/>
      <c r="S17" s="12"/>
      <c r="T17" s="12"/>
      <c r="U17" s="12"/>
      <c r="V17" s="1"/>
      <c r="W17" s="1"/>
      <c r="X17" s="1"/>
      <c r="Y17" s="1"/>
      <c r="Z17" s="1"/>
      <c r="AA17" s="1"/>
      <c r="AB17" s="1"/>
    </row>
    <row r="18" spans="1:28" ht="15.75" customHeight="1">
      <c r="A18" s="39" t="s">
        <v>44</v>
      </c>
      <c r="B18" s="40" t="s">
        <v>45</v>
      </c>
      <c r="C18" s="44" t="s">
        <v>71</v>
      </c>
      <c r="D18" s="44">
        <v>32</v>
      </c>
      <c r="E18" s="47" t="s">
        <v>52</v>
      </c>
      <c r="F18" s="44" t="s">
        <v>47</v>
      </c>
      <c r="G18" s="49" t="s">
        <v>55</v>
      </c>
      <c r="H18" s="20" t="s">
        <v>50</v>
      </c>
      <c r="I18" s="45" t="s">
        <v>66</v>
      </c>
      <c r="J18" s="46">
        <v>1</v>
      </c>
      <c r="K18" s="12"/>
      <c r="L18" s="12"/>
      <c r="M18" s="12"/>
      <c r="N18" s="12"/>
      <c r="O18" s="12"/>
      <c r="P18" s="12"/>
      <c r="Q18" s="12"/>
      <c r="R18" s="12"/>
      <c r="S18" s="12"/>
      <c r="T18" s="12"/>
      <c r="U18" s="12"/>
      <c r="V18" s="1"/>
      <c r="W18" s="1"/>
      <c r="X18" s="1"/>
      <c r="Y18" s="1"/>
      <c r="Z18" s="1"/>
      <c r="AA18" s="1"/>
      <c r="AB18" s="1"/>
    </row>
    <row r="19" spans="1:28" ht="15.75" customHeight="1">
      <c r="A19" s="39" t="s">
        <v>44</v>
      </c>
      <c r="B19" s="40" t="s">
        <v>45</v>
      </c>
      <c r="C19" s="44" t="s">
        <v>72</v>
      </c>
      <c r="D19" s="44">
        <v>20</v>
      </c>
      <c r="E19" s="47" t="s">
        <v>52</v>
      </c>
      <c r="F19" s="44" t="s">
        <v>47</v>
      </c>
      <c r="G19" s="49" t="s">
        <v>55</v>
      </c>
      <c r="H19" s="20" t="s">
        <v>50</v>
      </c>
      <c r="I19" s="45" t="s">
        <v>66</v>
      </c>
      <c r="J19" s="46">
        <v>1</v>
      </c>
      <c r="K19" s="12"/>
      <c r="L19" s="12"/>
      <c r="M19" s="12"/>
      <c r="N19" s="12"/>
      <c r="O19" s="12"/>
      <c r="P19" s="12"/>
      <c r="Q19" s="12"/>
      <c r="R19" s="12"/>
      <c r="S19" s="12"/>
      <c r="T19" s="12"/>
      <c r="U19" s="12"/>
      <c r="V19" s="1"/>
      <c r="W19" s="1"/>
      <c r="X19" s="1"/>
      <c r="Y19" s="1"/>
      <c r="Z19" s="1"/>
      <c r="AA19" s="1"/>
      <c r="AB19" s="1"/>
    </row>
    <row r="20" spans="1:28" ht="15.75" customHeight="1">
      <c r="A20" s="39" t="s">
        <v>44</v>
      </c>
      <c r="B20" s="40" t="s">
        <v>73</v>
      </c>
      <c r="C20" s="44" t="s">
        <v>74</v>
      </c>
      <c r="D20" s="44">
        <v>2</v>
      </c>
      <c r="E20" s="47" t="s">
        <v>75</v>
      </c>
      <c r="F20" s="44" t="s">
        <v>362</v>
      </c>
      <c r="G20" s="57" t="s">
        <v>76</v>
      </c>
      <c r="H20" s="16" t="s">
        <v>50</v>
      </c>
      <c r="I20" s="45" t="s">
        <v>77</v>
      </c>
      <c r="J20" s="59">
        <v>2</v>
      </c>
      <c r="K20" s="12"/>
      <c r="L20" s="12"/>
      <c r="M20" s="12"/>
      <c r="N20" s="12"/>
      <c r="O20" s="12"/>
      <c r="P20" s="12"/>
      <c r="Q20" s="12"/>
      <c r="R20" s="12"/>
      <c r="S20" s="12"/>
      <c r="T20" s="12"/>
      <c r="U20" s="12"/>
      <c r="V20" s="1"/>
      <c r="W20" s="1"/>
      <c r="X20" s="1"/>
      <c r="Y20" s="1"/>
      <c r="Z20" s="1"/>
      <c r="AA20" s="1"/>
      <c r="AB20" s="1"/>
    </row>
    <row r="21" spans="1:28" ht="15.75" customHeight="1">
      <c r="A21" s="39" t="s">
        <v>44</v>
      </c>
      <c r="B21" s="40" t="s">
        <v>73</v>
      </c>
      <c r="C21" s="44" t="s">
        <v>79</v>
      </c>
      <c r="D21" s="44">
        <v>4</v>
      </c>
      <c r="E21" s="47" t="s">
        <v>80</v>
      </c>
      <c r="F21" s="44" t="s">
        <v>54</v>
      </c>
      <c r="G21" s="61" t="s">
        <v>81</v>
      </c>
      <c r="H21" s="16" t="s">
        <v>50</v>
      </c>
      <c r="I21" s="63" t="s">
        <v>82</v>
      </c>
      <c r="J21" s="46">
        <v>1</v>
      </c>
      <c r="K21" s="11"/>
      <c r="L21" s="12"/>
      <c r="M21" s="12"/>
      <c r="N21" s="12"/>
      <c r="O21" s="12"/>
      <c r="P21" s="12"/>
      <c r="Q21" s="12"/>
      <c r="R21" s="12"/>
      <c r="S21" s="12"/>
      <c r="T21" s="12"/>
      <c r="U21" s="12"/>
      <c r="V21" s="1"/>
      <c r="W21" s="1"/>
      <c r="X21" s="1"/>
      <c r="Y21" s="1"/>
      <c r="Z21" s="1"/>
      <c r="AA21" s="1"/>
      <c r="AB21" s="1"/>
    </row>
    <row r="22" spans="1:28" ht="15.75" customHeight="1">
      <c r="A22" s="65" t="s">
        <v>44</v>
      </c>
      <c r="B22" s="66" t="s">
        <v>45</v>
      </c>
      <c r="C22" s="67" t="s">
        <v>84</v>
      </c>
      <c r="D22" s="69">
        <v>4</v>
      </c>
      <c r="E22" s="71"/>
      <c r="F22" s="264"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c r="A23" s="65" t="s">
        <v>44</v>
      </c>
      <c r="B23" s="66" t="s">
        <v>45</v>
      </c>
      <c r="C23" s="67" t="s">
        <v>100</v>
      </c>
      <c r="D23" s="69">
        <v>4</v>
      </c>
      <c r="E23" s="71"/>
      <c r="F23" s="264"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c r="A26" s="77" t="s">
        <v>116</v>
      </c>
      <c r="B26" s="79" t="s">
        <v>73</v>
      </c>
      <c r="C26" s="51" t="s">
        <v>117</v>
      </c>
      <c r="D26" s="51">
        <v>1</v>
      </c>
      <c r="E26" s="47" t="s">
        <v>52</v>
      </c>
      <c r="F26" s="51" t="s">
        <v>54</v>
      </c>
      <c r="G26" s="61" t="s">
        <v>81</v>
      </c>
      <c r="H26" s="16" t="s">
        <v>50</v>
      </c>
      <c r="I26" s="82" t="s">
        <v>77</v>
      </c>
      <c r="J26" s="59">
        <v>2</v>
      </c>
      <c r="K26" s="12"/>
      <c r="L26" s="12"/>
      <c r="M26" s="12"/>
      <c r="N26" s="12"/>
      <c r="O26" s="12"/>
      <c r="P26" s="12"/>
      <c r="Q26" s="12"/>
      <c r="R26" s="12"/>
      <c r="S26" s="12"/>
      <c r="T26" s="12"/>
      <c r="U26" s="12"/>
      <c r="V26" s="1"/>
      <c r="W26" s="1"/>
      <c r="X26" s="1"/>
      <c r="Y26" s="1"/>
      <c r="Z26" s="1"/>
      <c r="AA26" s="1"/>
      <c r="AB26" s="1"/>
    </row>
    <row r="27" spans="1:28" ht="15.75" customHeight="1">
      <c r="A27" s="77" t="s">
        <v>116</v>
      </c>
      <c r="B27" s="79" t="s">
        <v>73</v>
      </c>
      <c r="C27" s="51" t="s">
        <v>121</v>
      </c>
      <c r="D27" s="51">
        <v>1</v>
      </c>
      <c r="E27" s="47" t="s">
        <v>122</v>
      </c>
      <c r="F27" s="51" t="s">
        <v>54</v>
      </c>
      <c r="G27" s="61" t="s">
        <v>123</v>
      </c>
      <c r="H27" s="16" t="s">
        <v>50</v>
      </c>
      <c r="I27" s="63" t="s">
        <v>124</v>
      </c>
      <c r="J27" s="59">
        <v>2</v>
      </c>
      <c r="K27" s="12"/>
      <c r="L27" s="12"/>
      <c r="M27" s="12"/>
      <c r="N27" s="12"/>
      <c r="O27" s="12"/>
      <c r="P27" s="12"/>
      <c r="Q27" s="12"/>
      <c r="R27" s="12"/>
      <c r="S27" s="12"/>
      <c r="T27" s="12"/>
      <c r="U27" s="12"/>
      <c r="V27" s="1"/>
      <c r="W27" s="1"/>
      <c r="X27" s="1"/>
      <c r="Y27" s="1"/>
      <c r="Z27" s="1"/>
      <c r="AA27" s="1"/>
      <c r="AB27" s="1"/>
    </row>
    <row r="28" spans="1:28" ht="15.75" customHeight="1">
      <c r="A28" s="77" t="s">
        <v>116</v>
      </c>
      <c r="B28" s="79" t="s">
        <v>73</v>
      </c>
      <c r="C28" s="51" t="s">
        <v>128</v>
      </c>
      <c r="D28" s="51">
        <v>1</v>
      </c>
      <c r="E28" s="47" t="s">
        <v>130</v>
      </c>
      <c r="F28" s="51" t="s">
        <v>54</v>
      </c>
      <c r="G28" s="61" t="s">
        <v>123</v>
      </c>
      <c r="H28" s="16" t="s">
        <v>50</v>
      </c>
      <c r="I28" s="63" t="s">
        <v>124</v>
      </c>
      <c r="J28" s="59">
        <v>2</v>
      </c>
      <c r="K28" s="12"/>
      <c r="L28" s="12"/>
      <c r="M28" s="12"/>
      <c r="N28" s="12"/>
      <c r="O28" s="12"/>
      <c r="P28" s="12"/>
      <c r="Q28" s="12"/>
      <c r="R28" s="12"/>
      <c r="S28" s="12"/>
      <c r="T28" s="12"/>
      <c r="U28" s="12"/>
      <c r="V28" s="1"/>
      <c r="W28" s="1"/>
      <c r="X28" s="1"/>
      <c r="Y28" s="1"/>
      <c r="Z28" s="1"/>
      <c r="AA28" s="1"/>
      <c r="AB28" s="1"/>
    </row>
    <row r="29" spans="1:28" ht="15.75" customHeight="1">
      <c r="A29" s="77" t="s">
        <v>116</v>
      </c>
      <c r="B29" s="79" t="s">
        <v>45</v>
      </c>
      <c r="C29" s="51" t="s">
        <v>133</v>
      </c>
      <c r="D29" s="51">
        <v>2</v>
      </c>
      <c r="E29" s="47"/>
      <c r="F29" s="44" t="s">
        <v>47</v>
      </c>
      <c r="G29" s="49" t="s">
        <v>55</v>
      </c>
      <c r="H29" s="16" t="s">
        <v>50</v>
      </c>
      <c r="I29" s="63" t="s">
        <v>124</v>
      </c>
      <c r="J29" s="59">
        <v>2</v>
      </c>
      <c r="K29" s="12"/>
      <c r="L29" s="12"/>
      <c r="M29" s="12"/>
      <c r="N29" s="12"/>
      <c r="O29" s="12"/>
      <c r="P29" s="12"/>
      <c r="Q29" s="12"/>
      <c r="R29" s="12"/>
      <c r="S29" s="12"/>
      <c r="T29" s="12"/>
      <c r="U29" s="12"/>
      <c r="V29" s="1"/>
      <c r="W29" s="1"/>
      <c r="X29" s="1"/>
      <c r="Y29" s="1"/>
      <c r="Z29" s="1"/>
      <c r="AA29" s="1"/>
      <c r="AB29" s="1"/>
    </row>
    <row r="30" spans="1:28" ht="15.75" customHeight="1">
      <c r="A30" s="77" t="s">
        <v>116</v>
      </c>
      <c r="B30" s="79" t="s">
        <v>45</v>
      </c>
      <c r="C30" s="51" t="s">
        <v>136</v>
      </c>
      <c r="D30" s="51">
        <v>2</v>
      </c>
      <c r="E30" s="47"/>
      <c r="F30" s="44" t="s">
        <v>47</v>
      </c>
      <c r="G30" s="49" t="s">
        <v>55</v>
      </c>
      <c r="H30" s="16" t="s">
        <v>50</v>
      </c>
      <c r="I30" s="63" t="s">
        <v>124</v>
      </c>
      <c r="J30" s="59">
        <v>2</v>
      </c>
      <c r="K30" s="12"/>
      <c r="L30" s="12"/>
      <c r="M30" s="12"/>
      <c r="N30" s="12"/>
      <c r="O30" s="12"/>
      <c r="P30" s="12"/>
      <c r="Q30" s="12"/>
      <c r="R30" s="12"/>
      <c r="S30" s="12"/>
      <c r="T30" s="12"/>
      <c r="U30" s="12"/>
      <c r="V30" s="1"/>
      <c r="W30" s="1"/>
      <c r="X30" s="1"/>
      <c r="Y30" s="1"/>
      <c r="Z30" s="1"/>
      <c r="AA30" s="1"/>
      <c r="AB30" s="1"/>
    </row>
    <row r="31" spans="1:28" ht="15.75" customHeight="1">
      <c r="A31" s="77" t="s">
        <v>116</v>
      </c>
      <c r="B31" s="79" t="s">
        <v>45</v>
      </c>
      <c r="C31" s="51" t="s">
        <v>142</v>
      </c>
      <c r="D31" s="51">
        <v>1</v>
      </c>
      <c r="E31" s="47"/>
      <c r="F31" s="51" t="s">
        <v>144</v>
      </c>
      <c r="G31" s="72" t="s">
        <v>48</v>
      </c>
      <c r="H31" s="16" t="s">
        <v>296</v>
      </c>
      <c r="I31" s="76" t="s">
        <v>145</v>
      </c>
      <c r="J31" s="89">
        <v>3</v>
      </c>
      <c r="K31" s="234" t="s">
        <v>364</v>
      </c>
      <c r="L31" s="12"/>
      <c r="M31" s="12"/>
      <c r="N31" s="12"/>
      <c r="O31" s="12"/>
      <c r="P31" s="12"/>
      <c r="Q31" s="12"/>
      <c r="R31" s="12"/>
      <c r="S31" s="12"/>
      <c r="T31" s="12"/>
      <c r="U31" s="12"/>
      <c r="V31" s="1"/>
      <c r="W31" s="1"/>
      <c r="X31" s="1"/>
      <c r="Y31" s="1"/>
      <c r="Z31" s="1"/>
      <c r="AA31" s="1"/>
      <c r="AB31" s="1"/>
    </row>
    <row r="32" spans="1:28" ht="15.75" customHeight="1">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c r="A33" s="77" t="s">
        <v>116</v>
      </c>
      <c r="B33" s="79" t="s">
        <v>45</v>
      </c>
      <c r="C33" s="51" t="s">
        <v>152</v>
      </c>
      <c r="D33" s="51">
        <v>1</v>
      </c>
      <c r="E33" s="93"/>
      <c r="F33" s="51" t="s">
        <v>153</v>
      </c>
      <c r="G33" s="90" t="s">
        <v>149</v>
      </c>
      <c r="H33" s="16" t="s">
        <v>50</v>
      </c>
      <c r="I33" s="76" t="s">
        <v>155</v>
      </c>
      <c r="J33" s="93"/>
      <c r="K33" s="12"/>
      <c r="L33" s="12"/>
      <c r="M33" s="12"/>
      <c r="N33" s="12"/>
      <c r="O33" s="12"/>
      <c r="P33" s="12"/>
      <c r="Q33" s="12"/>
      <c r="R33" s="12"/>
      <c r="S33" s="12"/>
      <c r="T33" s="12"/>
      <c r="U33" s="12"/>
      <c r="V33" s="1"/>
      <c r="W33" s="1"/>
      <c r="X33" s="1"/>
      <c r="Y33" s="1"/>
      <c r="Z33" s="1"/>
      <c r="AA33" s="1"/>
      <c r="AB33" s="1"/>
    </row>
    <row r="34" spans="1:28" ht="15.75" customHeight="1">
      <c r="A34" s="40" t="s">
        <v>116</v>
      </c>
      <c r="B34" s="40" t="s">
        <v>45</v>
      </c>
      <c r="C34" s="44" t="s">
        <v>156</v>
      </c>
      <c r="D34" s="51">
        <v>1</v>
      </c>
      <c r="E34" s="93"/>
      <c r="F34" s="51" t="s">
        <v>54</v>
      </c>
      <c r="G34" s="90" t="s">
        <v>149</v>
      </c>
      <c r="H34" s="16" t="s">
        <v>50</v>
      </c>
      <c r="I34" s="76" t="s">
        <v>155</v>
      </c>
      <c r="J34" s="93"/>
      <c r="K34" s="12"/>
      <c r="L34" s="12"/>
      <c r="M34" s="12"/>
      <c r="N34" s="12"/>
      <c r="O34" s="12"/>
      <c r="P34" s="12"/>
      <c r="Q34" s="12"/>
      <c r="R34" s="12"/>
      <c r="S34" s="12"/>
      <c r="T34" s="12"/>
      <c r="U34" s="12"/>
      <c r="V34" s="1"/>
      <c r="W34" s="1"/>
      <c r="X34" s="1"/>
      <c r="Y34" s="1"/>
      <c r="Z34" s="1"/>
      <c r="AA34" s="1"/>
      <c r="AB34" s="1"/>
    </row>
    <row r="35" spans="1:28" ht="15.75" customHeight="1">
      <c r="A35" s="210" t="s">
        <v>44</v>
      </c>
      <c r="B35" s="210" t="s">
        <v>45</v>
      </c>
      <c r="C35" s="211"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3.2">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3.2">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3.2">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3.2">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3.2">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3.2">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3.2">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3.2">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3.2">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3.2">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3.2">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3.2">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3.2">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3.2">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3.2">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3.2">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3.2">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3.2">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3.2">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3.2">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3.2">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3.2">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3.2">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3.2">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3.2">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3.2">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3.2">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3.2">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3.2">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3.2">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3.2">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3.2">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3.2">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3.2">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3.2">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3.2">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3.2">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3.2">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3.2">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3.2">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3.2">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3.2">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3.2">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3.2">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3.2">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3.2">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3.2">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3.2">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3.2">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3.2">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3.2">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3.2">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3.2">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3.2">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3.2">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3.2">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3.2">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3.2">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3.2">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3.2">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3.2">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3.2">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3.2">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3.2">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3.2">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3.2">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3.2">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3.2">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3.2">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3.2">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3.2">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3.2">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3.2">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3.2">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3.2">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3.2">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3.2">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3.2">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3.2">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3.2">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3.2">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3.2">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3.2">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3.2">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3.2">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3.2">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3.2">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3.2">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3.2">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3.2">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3.2">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3.2">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3.2">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3.2">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3.2">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3.2">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3.2">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3.2">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3.2">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3.2">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3.2">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3.2">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3.2">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3.2">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3.2">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3.2">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3.2">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3.2">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3.2">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3.2">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3.2">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3.2">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3.2">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3.2">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3.2">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3.2">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3.2">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3.2">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3.2">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3.2">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3.2">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3.2">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3.2">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3.2">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3.2">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3.2">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3.2">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3.2">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3.2">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3.2">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3.2">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3.2">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3.2">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3.2">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3.2">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3.2">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3.2">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3.2">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3.2">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3.2">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3.2">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3.2">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3.2">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3.2">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3.2">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3.2">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3.2">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3.2">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3.2">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3.2">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3.2">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3.2">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3.2">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3.2">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3.2">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3.2">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3.2">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3.2">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3.2">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3.2">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3.2">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3.2">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3.2">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3.2">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3.2">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3.2">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3.2">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3.2">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3.2">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3.2">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3.2">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3.2">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3.2">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3.2">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3.2">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3.2">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3.2">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3.2">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3.2">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3.2">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3.2">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3.2">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3.2">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3.2">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3.2">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3.2">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3.2">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3.2">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3.2">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3.2">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3.2">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3.2">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3.2">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3.2">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3.2">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3.2">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3.2">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3.2">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3.2">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3.2">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3.2">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3.2">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3.2">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3.2">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3.2">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3.2">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3.2">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3.2">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3.2">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3.2">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3.2">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3.2">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3.2">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3.2">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3.2">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3.2">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3.2">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3.2">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3.2">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3.2">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3.2">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3.2">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3.2">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3.2">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3.2">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3.2">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3.2">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3.2">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3.2">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3.2">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3.2">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3.2">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3.2">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3.2">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3.2">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3.2">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3.2">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3.2">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3.2">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3.2">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3.2">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3.2">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3.2">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3.2">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3.2">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3.2">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3.2">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3.2">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3.2">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3.2">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3.2">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3.2">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3.2">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3.2">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3.2">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3.2">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3.2">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3.2">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3.2">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3.2">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3.2">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3.2">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3.2">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3.2">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3.2">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3.2">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3.2">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3.2">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3.2">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3.2">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3.2">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3.2">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3.2">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3.2">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3.2">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3.2">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3.2">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3.2">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3.2">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3.2">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3.2">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3.2">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3.2">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3.2">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3.2">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3.2">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3.2">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3.2">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3.2">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3.2">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3.2">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3.2">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3.2">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3.2">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3.2">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3.2">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3.2">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3.2">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3.2">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3.2">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3.2">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3.2">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3.2">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3.2">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3.2">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3.2">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3.2">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3.2">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3.2">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3.2">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3.2">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3.2">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3.2">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3.2">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3.2">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3.2">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3.2">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3.2">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3.2">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3.2">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3.2">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3.2">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3.2">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3.2">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3.2">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3.2">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3.2">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3.2">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3.2">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3.2">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3.2">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3.2">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3.2">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3.2">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3.2">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3.2">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3.2">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3.2">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3.2">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3.2">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3.2">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3.2">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3.2">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3.2">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3.2">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3.2">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3.2">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3.2">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3.2">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3.2">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3.2">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3.2">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3.2">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3.2">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3.2">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3.2">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3.2">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3.2">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3.2">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3.2">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3.2">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3.2">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3.2">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3.2">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3.2">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3.2">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3.2">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3.2">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3.2">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3.2">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3.2">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3.2">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3.2">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3.2">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3.2">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3.2">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3.2">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3.2">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3.2">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3.2">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3.2">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3.2">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3.2">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3.2">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3.2">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3.2">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3.2">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3.2">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3.2">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3.2">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3.2">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3.2">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3.2">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3.2">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3.2">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3.2">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3.2">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3.2">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3.2">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3.2">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3.2">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3.2">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3.2">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3.2">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3.2">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3.2">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3.2">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3.2">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3.2">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3.2">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3.2">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3.2">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3.2">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3.2">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3.2">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3.2">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3.2">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3.2">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3.2">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3.2">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3.2">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3.2">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3.2">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3.2">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3.2">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3.2">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3.2">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3.2">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3.2">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3.2">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3.2">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3.2">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3.2">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3.2">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3.2">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3.2">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3.2">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3.2">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3.2">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3.2">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3.2">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3.2">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3.2">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3.2">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3.2">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3.2">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3.2">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3.2">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3.2">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3.2">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3.2">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3.2">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3.2">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3.2">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3.2">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3.2">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3.2">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3.2">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3.2">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3.2">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3.2">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3.2">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3.2">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3.2">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3.2">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3.2">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3.2">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3.2">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3.2">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3.2">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3.2">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3.2">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3.2">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3.2">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3.2">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3.2">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3.2">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3.2">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3.2">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3.2">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3.2">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3.2">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3.2">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3.2">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3.2">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3.2">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3.2">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3.2">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3.2">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3.2">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3.2">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3.2">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3.2">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3.2">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3.2">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3.2">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3.2">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3.2">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3.2">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3.2">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3.2">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3.2">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3.2">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3.2">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3.2">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3.2">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3.2">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3.2">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3.2">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3.2">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3.2">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3.2">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3.2">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3.2">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3.2">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3.2">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3.2">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3.2">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3.2">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3.2">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3.2">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3.2">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3.2">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3.2">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3.2">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3.2">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3.2">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3.2">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3.2">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3.2">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3.2">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3.2">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3.2">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3.2">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3.2">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3.2">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3.2">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3.2">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3.2">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3.2">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3.2">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3.2">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3.2">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3.2">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3.2">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3.2">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3.2">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3.2">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3.2">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3.2">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3.2">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3.2">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3.2">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3.2">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3.2">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3.2">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3.2">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3.2">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3.2">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3.2">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3.2">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3.2">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3.2">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3.2">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3.2">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3.2">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3.2">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3.2">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3.2">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3.2">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3.2">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3.2">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3.2">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3.2">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3.2">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3.2">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3.2">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3.2">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3.2">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3.2">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3.2">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3.2">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3.2">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3.2">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3.2">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3.2">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3.2">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3.2">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3.2">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3.2">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3.2">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3.2">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3.2">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3.2">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3.2">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3.2">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3.2">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3.2">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3.2">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3.2">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3.2">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3.2">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3.2">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3.2">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3.2">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3.2">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3.2">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3.2">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3.2">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3.2">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3.2">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3.2">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3.2">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3.2">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3.2">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3.2">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3.2">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3.2">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3.2">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3.2">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3.2">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3.2">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3.2">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3.2">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3.2">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3.2">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3.2">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3.2">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3.2">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3.2">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3.2">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3.2">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3.2">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3.2">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3.2">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3.2">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3.2">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3.2">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3.2">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3.2">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3.2">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3.2">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3.2">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3.2">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3.2">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3.2">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3.2">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3.2">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3.2">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3.2">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3.2">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3.2">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3.2">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3.2">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3.2">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3.2">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3.2">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3.2">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3.2">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3.2">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3.2">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3.2">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3.2">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3.2">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3.2">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3.2">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3.2">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3.2">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3.2">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3.2">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3.2">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3.2">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3.2">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3.2">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3.2">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3.2">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3.2">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3.2">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3.2">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3.2">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3.2">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3.2">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3.2">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3.2">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3.2">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3.2">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3.2">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3.2">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3.2">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3.2">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3.2">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3.2">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3.2">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3.2">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3.2">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3.2">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3.2">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3.2">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3.2">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3.2">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3.2">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3.2">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3.2">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3.2">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3.2">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3.2">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3.2">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3.2">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3.2">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3.2">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3.2">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3.2">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3.2">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3.2">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3.2">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3.2">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3.2">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3.2">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3.2">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3.2">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3.2">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3.2">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3.2">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3.2">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3.2">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3.2">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3.2">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3.2">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3.2">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3.2">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3.2">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3.2">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3.2">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3.2">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3.2">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3.2">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3.2">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3.2">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3.2">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3.2">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3.2">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3.2">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3.2">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3.2">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3.2">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3.2">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3.2">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3.2">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3.2">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3.2">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3.2">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3.2">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3.2">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3.2">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3.2">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3.2">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3.2">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3.2">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3.2">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3.2">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3.2">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3.2">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3.2">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3.2">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3.2">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3.2">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3.2">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3.2">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3.2">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3.2">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3.2">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3.2">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3.2">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3.2">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3.2">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3.2">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3.2">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3.2">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3.2">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3.2">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3.2">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3.2">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3.2">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3.2">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3.2">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3.2">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3.2">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3.2">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3.2">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3.2">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3.2">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3.2">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3.2">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3.2">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3.2">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3.2">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3.2">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3.2">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3.2">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3.2">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3.2">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3.2">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3.2">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3.2">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3.2">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3.2">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3.2">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3.2">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3.2">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3.2">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3.2">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3.2">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3.2">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3.2">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3.2">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3.2">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3.2">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3.2">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3.2">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3.2">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3.2">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3.2">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3.2">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3.2">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3.2">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3.2">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3.2">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3.2">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3.2">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3.2">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3.2">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3.2">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3.2">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3.2">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3.2">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3.2">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3.2">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3.2">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3.2">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3.2">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3.2">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3.2">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3.2">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3.2">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3.2">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3.2">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3.2">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3.2">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3.2">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3.2">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3.2">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3.2">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3.2">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3.2">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3.2">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3.2">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3.2">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3.2">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3.2">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3.2">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3.2">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3.2">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3.2">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3.2">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3.2">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3.2">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3.2">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3.2">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3.2">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3.2">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3.2">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3.2">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3.2">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3.2">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3.2">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3.2">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3.2">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3.2">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3.2">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3.2">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3.2">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3.2">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3.2">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3.2">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3.2">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3.2">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3.2">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3.2">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3.2">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3.2">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3.2">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3.2">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3.2">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3.2">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3.2">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3.2">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3.2">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3.2">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3.2">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3.2">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3.2">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3.2">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3.2">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3.2">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3.2">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3.2">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3.2">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3.2">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3.2">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3.2">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3.2">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3.2">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3.2">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3.2">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3.2">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3.2">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3.2">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3.2">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3.2">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3.2">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3.2">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3.2">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3.2">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3.2">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3.2">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3.2">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3.2">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3.2">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3.2">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3.2">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3.2">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3.2">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3.2">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3.2">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3.2">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3.2">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3.2">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3.2">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3.2">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3.2">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3.2">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3.2">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3.2">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3.2">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3.2">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3.2">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3.2">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3.2">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3.2">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3.2">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3.2">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3.2">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3.2">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3.2">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3.2">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3.2">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3.2">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3.2">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3.2">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3.2">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3.2">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3.2">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3.2">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3.2">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3.2">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3.2">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3.2">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3.2">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3.2">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3.2">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3.2">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3.2">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3.2">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3.2">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3.2">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3.2">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3.2">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3.2">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3.2">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3.2">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3.2">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3.2">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3.2">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3.2">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3.2">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3.2">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3.2">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3.2">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3.2">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3.2">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3.2">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3.2">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3.2">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xr:uid="{00000000-0009-0000-0000-000004000000}"/>
  <mergeCells count="2">
    <mergeCell ref="E8:E9"/>
    <mergeCell ref="A5:J5"/>
  </mergeCells>
  <conditionalFormatting sqref="H32:H34 H15:H28">
    <cfRule type="cellIs" dxfId="28" priority="25" operator="equal">
      <formula>"Prêt à partir"</formula>
    </cfRule>
  </conditionalFormatting>
  <conditionalFormatting sqref="H89:H1033 H15:H34">
    <cfRule type="cellIs" dxfId="27" priority="26" operator="equal">
      <formula>"MEP validée"</formula>
    </cfRule>
  </conditionalFormatting>
  <conditionalFormatting sqref="H89:H1033 H15:H34">
    <cfRule type="cellIs" dxfId="26" priority="27" operator="equal">
      <formula>"MEP à vérifier"</formula>
    </cfRule>
  </conditionalFormatting>
  <conditionalFormatting sqref="H89:H1033 H15:H34">
    <cfRule type="cellIs" dxfId="25" priority="28" operator="equal">
      <formula>"MEP en cours"</formula>
    </cfRule>
  </conditionalFormatting>
  <conditionalFormatting sqref="H89:H1033 H15:H34">
    <cfRule type="cellIs" dxfId="24" priority="29" operator="equal">
      <formula>"En production"</formula>
    </cfRule>
  </conditionalFormatting>
  <conditionalFormatting sqref="H89:H1033 H15:H34">
    <cfRule type="cellIs" dxfId="23" priority="30" operator="equal">
      <formula>"Reçu"</formula>
    </cfRule>
  </conditionalFormatting>
  <conditionalFormatting sqref="H35">
    <cfRule type="cellIs" dxfId="22" priority="13" operator="equal">
      <formula>"Prêt à partir"</formula>
    </cfRule>
  </conditionalFormatting>
  <conditionalFormatting sqref="H35">
    <cfRule type="cellIs" dxfId="21" priority="14" operator="equal">
      <formula>"MEP validée"</formula>
    </cfRule>
  </conditionalFormatting>
  <conditionalFormatting sqref="H35">
    <cfRule type="cellIs" dxfId="20" priority="15" operator="equal">
      <formula>"MEP à vérifier"</formula>
    </cfRule>
  </conditionalFormatting>
  <conditionalFormatting sqref="H35">
    <cfRule type="cellIs" dxfId="19" priority="16" operator="equal">
      <formula>"MEP en cours"</formula>
    </cfRule>
  </conditionalFormatting>
  <conditionalFormatting sqref="H35">
    <cfRule type="cellIs" dxfId="18" priority="17" operator="equal">
      <formula>"En production"</formula>
    </cfRule>
  </conditionalFormatting>
  <conditionalFormatting sqref="H35">
    <cfRule type="cellIs" dxfId="17" priority="18" operator="equal">
      <formula>"Reçu"</formula>
    </cfRule>
  </conditionalFormatting>
  <conditionalFormatting sqref="H36">
    <cfRule type="cellIs" dxfId="16" priority="1" operator="equal">
      <formula>"Prêt à partir"</formula>
    </cfRule>
  </conditionalFormatting>
  <conditionalFormatting sqref="H36">
    <cfRule type="cellIs" dxfId="15" priority="2" operator="equal">
      <formula>"MEP validée"</formula>
    </cfRule>
  </conditionalFormatting>
  <conditionalFormatting sqref="H36">
    <cfRule type="cellIs" dxfId="14" priority="3" operator="equal">
      <formula>"MEP à vérifier"</formula>
    </cfRule>
  </conditionalFormatting>
  <conditionalFormatting sqref="H36">
    <cfRule type="cellIs" dxfId="13" priority="4" operator="equal">
      <formula>"MEP en cours"</formula>
    </cfRule>
  </conditionalFormatting>
  <conditionalFormatting sqref="H36">
    <cfRule type="cellIs" dxfId="12" priority="5" operator="equal">
      <formula>"En production"</formula>
    </cfRule>
  </conditionalFormatting>
  <conditionalFormatting sqref="H36">
    <cfRule type="cellIs" dxfId="11" priority="6"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defaultColWidth="14.44140625" defaultRowHeight="15.75" customHeight="1"/>
  <cols>
    <col min="1" max="1" width="14.21875" customWidth="1"/>
    <col min="2" max="2" width="17.77734375" customWidth="1"/>
    <col min="3" max="3" width="23.21875" customWidth="1"/>
    <col min="4" max="4" width="30.21875" customWidth="1"/>
    <col min="5" max="5" width="20.21875" customWidth="1"/>
    <col min="6" max="6" width="12.21875" customWidth="1"/>
    <col min="7" max="7" width="25.21875" customWidth="1"/>
  </cols>
  <sheetData>
    <row r="1" spans="1:28" ht="15.75" customHeight="1">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c r="A5" s="301" t="s">
        <v>1</v>
      </c>
      <c r="B5" s="302"/>
      <c r="C5" s="302"/>
      <c r="D5" s="302"/>
      <c r="E5" s="302"/>
      <c r="F5" s="302"/>
      <c r="G5" s="302"/>
      <c r="H5" s="302"/>
      <c r="I5" s="303"/>
      <c r="J5" s="1"/>
      <c r="K5" s="1"/>
      <c r="L5" s="1"/>
      <c r="M5" s="1"/>
      <c r="N5" s="1"/>
      <c r="O5" s="1"/>
      <c r="P5" s="1"/>
      <c r="Q5" s="1"/>
      <c r="R5" s="1"/>
      <c r="S5" s="1"/>
      <c r="T5" s="1"/>
      <c r="U5" s="1"/>
      <c r="V5" s="1"/>
      <c r="W5" s="1"/>
      <c r="X5" s="1"/>
      <c r="Y5" s="1"/>
      <c r="Z5" s="1"/>
      <c r="AA5" s="1"/>
      <c r="AB5" s="1"/>
    </row>
    <row r="6" spans="1:28" ht="15.75" customHeight="1">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c r="A8" s="12"/>
      <c r="B8" s="12"/>
      <c r="C8" s="12"/>
      <c r="D8" s="304"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c r="A9" s="11"/>
      <c r="B9" s="12"/>
      <c r="C9" s="12"/>
      <c r="D9" s="297"/>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c r="A13" s="22" t="s">
        <v>29</v>
      </c>
      <c r="B13" s="30">
        <f ca="1">TODAY()</f>
        <v>43508</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c r="A16" s="306" t="s">
        <v>44</v>
      </c>
      <c r="B16" s="305" t="s">
        <v>73</v>
      </c>
      <c r="C16" s="16" t="s">
        <v>280</v>
      </c>
      <c r="D16" s="16">
        <v>2</v>
      </c>
      <c r="E16" s="16"/>
      <c r="F16" s="16" t="s">
        <v>54</v>
      </c>
      <c r="G16" s="51" t="s">
        <v>93</v>
      </c>
      <c r="H16" s="16" t="s">
        <v>50</v>
      </c>
      <c r="I16" s="307" t="s">
        <v>59</v>
      </c>
      <c r="J16" s="215" t="s">
        <v>359</v>
      </c>
      <c r="K16" s="1"/>
      <c r="L16" s="1"/>
      <c r="M16" s="1"/>
      <c r="N16" s="1"/>
      <c r="O16" s="1"/>
      <c r="P16" s="1"/>
      <c r="Q16" s="1"/>
      <c r="R16" s="1"/>
      <c r="S16" s="1"/>
      <c r="T16" s="1"/>
      <c r="U16" s="1"/>
      <c r="V16" s="1"/>
      <c r="W16" s="1"/>
      <c r="X16" s="1"/>
      <c r="Y16" s="1"/>
      <c r="Z16" s="1"/>
      <c r="AA16" s="1"/>
      <c r="AB16" s="1"/>
    </row>
    <row r="17" spans="1:28" ht="15.75" customHeight="1">
      <c r="A17" s="296"/>
      <c r="B17" s="296"/>
      <c r="C17" s="16" t="s">
        <v>281</v>
      </c>
      <c r="D17" s="16">
        <v>2</v>
      </c>
      <c r="E17" s="16"/>
      <c r="F17" s="16" t="s">
        <v>54</v>
      </c>
      <c r="G17" s="51" t="s">
        <v>93</v>
      </c>
      <c r="H17" s="16" t="s">
        <v>50</v>
      </c>
      <c r="I17" s="296"/>
      <c r="J17" s="1"/>
      <c r="K17" s="1"/>
      <c r="L17" s="1"/>
      <c r="M17" s="1"/>
      <c r="N17" s="1"/>
      <c r="O17" s="1"/>
      <c r="P17" s="1"/>
      <c r="Q17" s="1"/>
      <c r="R17" s="1"/>
      <c r="S17" s="1"/>
      <c r="T17" s="1"/>
      <c r="U17" s="1"/>
      <c r="V17" s="1"/>
      <c r="W17" s="1"/>
      <c r="X17" s="1"/>
      <c r="Y17" s="1"/>
      <c r="Z17" s="1"/>
      <c r="AA17" s="1"/>
      <c r="AB17" s="1"/>
    </row>
    <row r="18" spans="1:28" ht="15.75" customHeight="1">
      <c r="A18" s="296"/>
      <c r="B18" s="296"/>
      <c r="C18" s="16" t="s">
        <v>282</v>
      </c>
      <c r="D18" s="16">
        <v>2</v>
      </c>
      <c r="E18" s="16"/>
      <c r="F18" s="16" t="s">
        <v>54</v>
      </c>
      <c r="G18" s="51" t="s">
        <v>93</v>
      </c>
      <c r="H18" s="16" t="s">
        <v>50</v>
      </c>
      <c r="I18" s="296"/>
      <c r="J18" s="1"/>
      <c r="K18" s="1"/>
      <c r="L18" s="1"/>
      <c r="M18" s="1"/>
      <c r="N18" s="1"/>
      <c r="O18" s="1"/>
      <c r="P18" s="1"/>
      <c r="Q18" s="1"/>
      <c r="R18" s="1"/>
      <c r="S18" s="1"/>
      <c r="T18" s="1"/>
      <c r="U18" s="1"/>
      <c r="V18" s="1"/>
      <c r="W18" s="1"/>
      <c r="X18" s="1"/>
      <c r="Y18" s="1"/>
      <c r="Z18" s="1"/>
      <c r="AA18" s="1"/>
      <c r="AB18" s="1"/>
    </row>
    <row r="19" spans="1:28" ht="15.75" customHeight="1">
      <c r="A19" s="296"/>
      <c r="B19" s="296"/>
      <c r="C19" s="16" t="s">
        <v>283</v>
      </c>
      <c r="D19" s="16">
        <v>2</v>
      </c>
      <c r="E19" s="16"/>
      <c r="F19" s="16" t="s">
        <v>54</v>
      </c>
      <c r="G19" s="51" t="s">
        <v>93</v>
      </c>
      <c r="H19" s="16" t="s">
        <v>50</v>
      </c>
      <c r="I19" s="296"/>
      <c r="J19" s="1"/>
      <c r="K19" s="1"/>
      <c r="L19" s="1"/>
      <c r="M19" s="1"/>
      <c r="N19" s="1"/>
      <c r="O19" s="1"/>
      <c r="P19" s="1"/>
      <c r="Q19" s="1"/>
      <c r="R19" s="1"/>
      <c r="S19" s="1"/>
      <c r="T19" s="1"/>
      <c r="U19" s="1"/>
      <c r="V19" s="1"/>
      <c r="W19" s="1"/>
      <c r="X19" s="1"/>
      <c r="Y19" s="1"/>
      <c r="Z19" s="1"/>
      <c r="AA19" s="1"/>
      <c r="AB19" s="1"/>
    </row>
    <row r="20" spans="1:28" ht="15.75" customHeight="1">
      <c r="A20" s="296"/>
      <c r="B20" s="296"/>
      <c r="C20" s="16" t="s">
        <v>284</v>
      </c>
      <c r="D20" s="16">
        <v>24</v>
      </c>
      <c r="E20" s="16"/>
      <c r="F20" s="16" t="s">
        <v>54</v>
      </c>
      <c r="G20" s="51" t="s">
        <v>93</v>
      </c>
      <c r="H20" s="16" t="s">
        <v>50</v>
      </c>
      <c r="I20" s="296"/>
      <c r="J20" s="1"/>
      <c r="K20" s="1"/>
      <c r="L20" s="1"/>
      <c r="M20" s="1"/>
      <c r="N20" s="1"/>
      <c r="O20" s="1"/>
      <c r="P20" s="1"/>
      <c r="Q20" s="1"/>
      <c r="R20" s="1"/>
      <c r="S20" s="1"/>
      <c r="T20" s="1"/>
      <c r="U20" s="1"/>
      <c r="V20" s="1"/>
      <c r="W20" s="1"/>
      <c r="X20" s="1"/>
      <c r="Y20" s="1"/>
      <c r="Z20" s="1"/>
      <c r="AA20" s="1"/>
      <c r="AB20" s="1"/>
    </row>
    <row r="21" spans="1:28" ht="15.75" customHeight="1">
      <c r="A21" s="297"/>
      <c r="B21" s="297"/>
      <c r="C21" s="16" t="s">
        <v>285</v>
      </c>
      <c r="D21" s="16">
        <v>28</v>
      </c>
      <c r="E21" s="16"/>
      <c r="F21" s="16" t="s">
        <v>54</v>
      </c>
      <c r="G21" s="51" t="s">
        <v>93</v>
      </c>
      <c r="H21" s="16" t="s">
        <v>50</v>
      </c>
      <c r="I21" s="297"/>
      <c r="J21" s="1"/>
      <c r="K21" s="1"/>
      <c r="L21" s="1"/>
      <c r="M21" s="1"/>
      <c r="N21" s="1"/>
      <c r="O21" s="1"/>
      <c r="P21" s="1"/>
      <c r="Q21" s="1"/>
      <c r="R21" s="1"/>
      <c r="S21" s="1"/>
      <c r="T21" s="1"/>
      <c r="U21" s="1"/>
      <c r="V21" s="1"/>
      <c r="W21" s="1"/>
      <c r="X21" s="1"/>
      <c r="Y21" s="1"/>
      <c r="Z21" s="1"/>
      <c r="AA21" s="1"/>
      <c r="AB21" s="1"/>
    </row>
    <row r="22" spans="1:28" ht="15.7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3.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3.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3.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3.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3.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3.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3.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3.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3.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3.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3.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3.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3.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3.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3.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3.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3.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3.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3.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3.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3.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3.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3.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3.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3.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3.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3.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3.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3.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3.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3.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3.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3.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3.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3.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3.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3.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3.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3.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3.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3.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3.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3.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3.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3.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3.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3.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3.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3.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3.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3.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3.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3.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3.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3.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3.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3.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3.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3.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3.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3.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3.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3.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3.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3.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3.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3.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3.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3.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3.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3.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3.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3.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3.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3.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3.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3.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3.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3.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3.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3.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3.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3.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3.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3.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3.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3.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3.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3.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3.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3.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3.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3.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3.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3.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3.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3.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3.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3.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3.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3.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3.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3.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3.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3.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3.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3.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3.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3.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3.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3.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3.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3.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3.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3.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3.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3.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3.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3.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3.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3.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3.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3.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3.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3.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3.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3.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3.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3.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3.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3.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3.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3.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3.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3.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3.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3.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3.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3.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3.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3.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3.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3.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3.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3.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3.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3.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3.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3.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3.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3.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3.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3.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3.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3.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3.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3.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3.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3.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3.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3.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3.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3.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3.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3.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3.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3.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3.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3.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3.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3.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3.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3.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3.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3.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3.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3.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3.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3.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3.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3.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3.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3.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3.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3.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3.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3.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3.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3.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3.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3.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3.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3.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3.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3.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3.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3.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3.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3.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3.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3.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3.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3.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3.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3.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3.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3.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3.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3.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3.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3.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3.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3.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3.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3.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3.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3.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3.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3.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3.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3.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3.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3.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3.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3.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3.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3.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3.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3.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3.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3.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3.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3.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3.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3.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3.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3.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3.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3.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3.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3.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3.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3.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3.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3.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3.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3.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3.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3.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3.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3.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3.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3.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3.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3.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3.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3.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3.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3.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3.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3.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3.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3.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3.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3.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3.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3.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3.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3.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3.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3.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3.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3.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3.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3.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3.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3.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3.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3.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3.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3.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3.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3.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3.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3.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3.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3.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3.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3.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3.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3.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3.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3.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3.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3.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3.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3.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3.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3.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3.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3.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3.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3.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3.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3.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3.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3.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3.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3.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3.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3.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3.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3.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3.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3.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3.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3.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3.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3.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3.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3.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3.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3.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3.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3.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3.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3.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3.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3.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3.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3.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3.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3.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3.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3.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3.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3.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3.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3.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3.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3.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3.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3.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3.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3.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3.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3.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3.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3.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3.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3.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3.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3.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3.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3.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3.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3.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3.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3.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3.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3.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3.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3.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3.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3.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3.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3.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3.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3.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3.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3.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3.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3.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3.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3.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3.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3.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3.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3.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3.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3.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3.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3.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3.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3.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3.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3.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3.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3.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3.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3.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3.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3.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3.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3.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3.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3.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3.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3.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3.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3.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3.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3.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3.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3.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3.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3.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3.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3.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3.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3.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3.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3.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3.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3.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3.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3.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3.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3.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3.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3.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3.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3.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3.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3.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3.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3.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3.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3.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3.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3.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3.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3.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3.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3.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3.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3.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3.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3.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3.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3.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3.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3.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3.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3.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3.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3.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3.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3.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3.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3.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3.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3.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3.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3.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3.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3.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3.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3.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3.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3.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3.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3.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3.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3.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3.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3.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3.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3.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3.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3.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3.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3.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3.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3.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3.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3.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3.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3.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3.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3.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3.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3.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3.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3.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3.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3.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3.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3.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3.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3.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3.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3.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3.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3.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3.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3.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3.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3.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3.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3.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3.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3.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3.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3.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3.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3.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3.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3.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3.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3.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3.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3.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3.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3.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3.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3.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3.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3.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3.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3.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3.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3.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3.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3.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3.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3.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3.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3.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3.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3.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3.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3.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3.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3.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3.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3.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3.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3.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3.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3.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3.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3.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3.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3.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3.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3.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3.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3.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3.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3.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3.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3.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3.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3.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3.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3.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3.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3.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3.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3.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3.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3.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3.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3.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3.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3.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3.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3.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3.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3.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3.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3.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3.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3.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3.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3.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3.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3.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3.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3.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3.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3.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3.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3.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3.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3.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3.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3.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3.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3.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3.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3.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3.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3.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3.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3.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3.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3.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3.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3.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3.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3.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3.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3.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3.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3.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3.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3.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3.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3.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3.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3.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3.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3.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3.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3.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3.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3.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3.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3.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3.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3.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3.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3.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3.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3.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3.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3.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3.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3.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3.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3.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3.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3.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3.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3.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3.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3.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3.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3.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3.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3.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3.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3.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3.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3.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3.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3.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3.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3.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3.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3.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3.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3.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3.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3.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3.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3.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3.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3.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3.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3.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3.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3.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3.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3.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3.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3.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3.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3.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3.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3.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3.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3.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3.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3.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3.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3.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3.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3.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3.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3.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3.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3.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3.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3.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3.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3.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3.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3.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3.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3.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3.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3.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3.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3.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3.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3.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3.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3.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3.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3.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3.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3.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3.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3.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3.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3.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3.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3.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3.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3.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3.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3.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3.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3.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3.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3.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3.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3.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3.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3.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3.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3.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3.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3.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3.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3.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3.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3.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3.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3.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3.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3.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3.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3.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3.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3.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3.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3.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3.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3.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3.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3.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3.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3.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3.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3.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3.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3.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3.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3.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3.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3.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3.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3.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3.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3.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3.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3.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3.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3.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3.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3.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3.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3.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3.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3.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3.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3.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3.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3.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3.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3.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3.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3.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3.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3.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3.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3.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3.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3.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3.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3.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3.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3.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3.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3.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3.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3.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3.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3.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3.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3.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3.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3.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3.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3.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3.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3.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3.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3.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3.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3.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3.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3.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3.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3.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3.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3.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3.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3.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3.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3.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3.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3.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3.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3.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3.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3.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3.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3.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3.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3.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3.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3.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3.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3.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3.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3.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3.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3.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3.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3.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3.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3.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3.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3.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3.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3.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3.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3.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3.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3.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3.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3.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3.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3.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10" priority="1" operator="equal">
      <formula>"MEP validée"</formula>
    </cfRule>
  </conditionalFormatting>
  <conditionalFormatting sqref="H16:H21">
    <cfRule type="cellIs" dxfId="9" priority="2" operator="equal">
      <formula>"MEP à vérifier"</formula>
    </cfRule>
  </conditionalFormatting>
  <conditionalFormatting sqref="H16:H21">
    <cfRule type="cellIs" dxfId="8" priority="3" operator="equal">
      <formula>"MEP en cours"</formula>
    </cfRule>
  </conditionalFormatting>
  <conditionalFormatting sqref="H16:H21">
    <cfRule type="cellIs" dxfId="7" priority="4" operator="equal">
      <formula>"En production"</formula>
    </cfRule>
  </conditionalFormatting>
  <conditionalFormatting sqref="H16:H21">
    <cfRule type="cellIs" dxfId="6" priority="5" operator="equal">
      <formula>"Reçu"</formula>
    </cfRule>
  </conditionalFormatting>
  <dataValidations count="1">
    <dataValidation type="list" allowBlank="1" showErrorMessage="1" sqref="H16:H21" xr:uid="{00000000-0002-0000-0500-000000000000}">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pageSetUpPr fitToPage="1"/>
  </sheetPr>
  <dimension ref="A1:AC869"/>
  <sheetViews>
    <sheetView showGridLines="0" topLeftCell="A4" workbookViewId="0">
      <selection activeCell="A20" sqref="A20"/>
    </sheetView>
  </sheetViews>
  <sheetFormatPr defaultColWidth="14.44140625" defaultRowHeight="15.75" customHeight="1"/>
  <cols>
    <col min="1" max="1" width="27.77734375" customWidth="1"/>
    <col min="2" max="2" width="11.21875" customWidth="1"/>
    <col min="3" max="3" width="16.77734375" customWidth="1"/>
    <col min="4" max="4" width="12" customWidth="1"/>
    <col min="5" max="5" width="18.77734375" customWidth="1"/>
    <col min="6" max="6" width="11.77734375" customWidth="1"/>
    <col min="7" max="7" width="18.77734375" customWidth="1"/>
    <col min="11" max="11" width="35.5546875" customWidth="1"/>
  </cols>
  <sheetData>
    <row r="1" spans="1:29" ht="15.75" customHeight="1">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c r="A5" s="301" t="s">
        <v>1</v>
      </c>
      <c r="B5" s="302"/>
      <c r="C5" s="302"/>
      <c r="D5" s="302"/>
      <c r="E5" s="302"/>
      <c r="F5" s="302"/>
      <c r="G5" s="302"/>
      <c r="H5" s="302"/>
      <c r="I5" s="302"/>
      <c r="J5" s="303"/>
      <c r="K5" s="1"/>
      <c r="L5" s="1"/>
      <c r="M5" s="1"/>
      <c r="N5" s="1"/>
      <c r="O5" s="1"/>
      <c r="P5" s="1"/>
      <c r="Q5" s="1"/>
      <c r="R5" s="1"/>
      <c r="S5" s="1"/>
      <c r="T5" s="1"/>
      <c r="U5" s="1"/>
      <c r="V5" s="1"/>
      <c r="W5" s="1"/>
      <c r="X5" s="1"/>
      <c r="Y5" s="1"/>
      <c r="Z5" s="1"/>
      <c r="AA5" s="1"/>
      <c r="AB5" s="1"/>
      <c r="AC5" s="1"/>
    </row>
    <row r="6" spans="1:29" ht="15.75" customHeight="1">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2">
      <c r="A8" s="11"/>
      <c r="B8" s="12"/>
      <c r="C8" s="12"/>
      <c r="D8" s="217" t="s">
        <v>7</v>
      </c>
      <c r="E8" s="216" t="s">
        <v>360</v>
      </c>
      <c r="F8" s="15"/>
      <c r="G8" s="16"/>
      <c r="H8" s="1"/>
      <c r="I8" s="1"/>
      <c r="J8" s="2"/>
      <c r="K8" s="1"/>
      <c r="L8" s="1"/>
      <c r="M8" s="1"/>
      <c r="N8" s="1"/>
      <c r="O8" s="1"/>
      <c r="P8" s="1"/>
      <c r="Q8" s="1"/>
      <c r="R8" s="1"/>
      <c r="S8" s="1"/>
      <c r="T8" s="1"/>
      <c r="U8" s="1"/>
      <c r="V8" s="1"/>
      <c r="W8" s="1"/>
      <c r="X8" s="1"/>
      <c r="Y8" s="1"/>
      <c r="Z8" s="1"/>
      <c r="AA8" s="1"/>
      <c r="AB8" s="1"/>
      <c r="AC8" s="1"/>
    </row>
    <row r="9" spans="1:29" ht="15.75" customHeight="1">
      <c r="A9" s="12"/>
      <c r="B9" s="12"/>
      <c r="C9" s="12"/>
      <c r="D9" s="284"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c r="A10" s="12"/>
      <c r="B10" s="12"/>
      <c r="C10" s="12"/>
      <c r="D10" s="297"/>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c r="A13" s="22" t="s">
        <v>29</v>
      </c>
      <c r="B13" s="30">
        <f ca="1">TODAY()</f>
        <v>43508</v>
      </c>
      <c r="D13" s="12"/>
      <c r="I13" s="1"/>
      <c r="J13" s="2"/>
      <c r="K13" s="1"/>
      <c r="L13" s="1"/>
      <c r="M13" s="1"/>
      <c r="N13" s="1"/>
      <c r="O13" s="1"/>
      <c r="P13" s="1"/>
      <c r="Q13" s="1"/>
      <c r="R13" s="1"/>
      <c r="S13" s="1"/>
      <c r="T13" s="1"/>
      <c r="U13" s="1"/>
      <c r="V13" s="1"/>
      <c r="W13" s="1"/>
      <c r="X13" s="1"/>
      <c r="Y13" s="1"/>
      <c r="Z13" s="1"/>
      <c r="AA13" s="1"/>
      <c r="AB13" s="1"/>
      <c r="AC13" s="1"/>
    </row>
    <row r="14" spans="1:29" ht="15.75" customHeight="1">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c r="A16" s="220" t="s">
        <v>290</v>
      </c>
      <c r="B16" s="221" t="s">
        <v>73</v>
      </c>
      <c r="C16" s="222" t="s">
        <v>291</v>
      </c>
      <c r="D16" s="222">
        <v>1</v>
      </c>
      <c r="E16" s="222"/>
      <c r="F16" s="222" t="s">
        <v>54</v>
      </c>
      <c r="G16" s="223" t="s">
        <v>292</v>
      </c>
      <c r="H16" s="222" t="s">
        <v>50</v>
      </c>
      <c r="I16" s="224" t="s">
        <v>158</v>
      </c>
      <c r="J16" s="225"/>
      <c r="K16" s="1"/>
      <c r="L16" s="1"/>
      <c r="M16" s="1"/>
      <c r="N16" s="1"/>
      <c r="O16" s="1"/>
      <c r="P16" s="1"/>
      <c r="Q16" s="1"/>
      <c r="R16" s="1"/>
      <c r="S16" s="1"/>
      <c r="T16" s="1"/>
      <c r="U16" s="1"/>
      <c r="V16" s="1"/>
      <c r="W16" s="1"/>
      <c r="X16" s="1"/>
      <c r="Y16" s="1"/>
      <c r="Z16" s="1"/>
      <c r="AA16" s="1"/>
      <c r="AB16" s="1"/>
      <c r="AC16" s="1"/>
    </row>
    <row r="17" spans="1:29" ht="15.75" customHeight="1">
      <c r="A17" s="4"/>
      <c r="B17" s="1"/>
      <c r="C17" s="1"/>
      <c r="D17" s="1"/>
      <c r="E17" s="1"/>
      <c r="F17" s="1"/>
      <c r="G17" s="1"/>
      <c r="H17" s="1"/>
      <c r="I17" s="1"/>
      <c r="J17" s="1"/>
      <c r="K17" s="1"/>
      <c r="L17" s="1"/>
      <c r="M17" s="1"/>
      <c r="N17" s="1"/>
      <c r="O17" s="1"/>
      <c r="P17" s="1"/>
      <c r="Q17" s="1"/>
      <c r="R17" s="1"/>
      <c r="S17" s="1"/>
    </row>
    <row r="18" spans="1:29" ht="15.75" customHeight="1">
      <c r="A18" s="1"/>
      <c r="B18" s="1"/>
      <c r="C18" s="1"/>
      <c r="D18" s="1"/>
      <c r="E18" s="1"/>
      <c r="F18" s="1"/>
      <c r="G18" s="1"/>
      <c r="H18" s="1"/>
      <c r="I18" s="1"/>
      <c r="J18" s="1"/>
      <c r="K18" s="1"/>
      <c r="L18" s="1"/>
      <c r="M18" s="1"/>
      <c r="N18" s="1"/>
      <c r="O18" s="1"/>
      <c r="P18" s="1"/>
      <c r="Q18" s="1"/>
      <c r="R18" s="1"/>
      <c r="S18" s="1"/>
    </row>
    <row r="19" spans="1:29" ht="15.75" customHeight="1">
      <c r="A19" s="1"/>
      <c r="B19" s="1"/>
      <c r="C19" s="1"/>
      <c r="D19" s="1"/>
      <c r="E19" s="1"/>
      <c r="F19" s="1"/>
      <c r="G19" s="1"/>
      <c r="H19" s="1"/>
      <c r="I19" s="1"/>
      <c r="J19" s="1"/>
      <c r="K19" s="1"/>
      <c r="L19" s="1"/>
      <c r="M19" s="1"/>
      <c r="N19" s="1"/>
      <c r="O19" s="1"/>
      <c r="P19" s="1"/>
      <c r="Q19" s="1"/>
      <c r="R19" s="1"/>
      <c r="S19" s="1"/>
    </row>
    <row r="20" spans="1:29" ht="15.75" customHeight="1">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3.2">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3.2">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3.2">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3.2">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3.2">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3.2">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3.2">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3.2">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3.2">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3.2">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3.2">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3.2">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3.2">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3.2">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3.2">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3.2">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3.2">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3.2">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3.2">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3.2">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3.2">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3.2">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3.2">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3.2">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3.2">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3.2">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3.2">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3.2">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3.2">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3.2">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3.2">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3.2">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3.2">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3.2">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3.2">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3.2">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3.2">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3.2">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3.2">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3.2">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3.2">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3.2">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3.2">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3.2">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3.2">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3.2">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3.2">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3.2">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3.2">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3.2">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3.2">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3.2">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3.2">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3.2">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3.2">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3.2">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3.2">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3.2">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3.2">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3.2">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3.2">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3.2">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3.2">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3.2">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3.2">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3.2">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3.2">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3.2">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3.2">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3.2">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3.2">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3.2">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3.2">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3.2">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3.2">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3.2">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3.2">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3.2">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3.2">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3.2">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3.2">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3.2">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3.2">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3.2">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3.2">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3.2">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3.2">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3.2">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3.2">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3.2">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3.2">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3.2">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3.2">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3.2">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3.2">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3.2">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3.2">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3.2">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3.2">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3.2">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3.2">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3.2">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3.2">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3.2">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3.2">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3.2">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3.2">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3.2">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3.2">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3.2">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3.2">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3.2">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3.2">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3.2">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3.2">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3.2">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3.2">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3.2">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3.2">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3.2">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3.2">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3.2">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3.2">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3.2">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3.2">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3.2">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3.2">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3.2">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3.2">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3.2">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3.2">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3.2">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3.2">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3.2">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3.2">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3.2">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3.2">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3.2">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3.2">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3.2">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3.2">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3.2">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3.2">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3.2">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3.2">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3.2">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3.2">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3.2">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3.2">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3.2">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3.2">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3.2">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3.2">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3.2">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3.2">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3.2">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3.2">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3.2">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3.2">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3.2">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3.2">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3.2">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3.2">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3.2">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3.2">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3.2">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3.2">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3.2">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3.2">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3.2">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3.2">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3.2">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3.2">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3.2">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3.2">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3.2">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3.2">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3.2">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3.2">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3.2">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3.2">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3.2">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3.2">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3.2">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3.2">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3.2">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3.2">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3.2">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3.2">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3.2">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3.2">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3.2">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3.2">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3.2">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3.2">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3.2">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3.2">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3.2">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3.2">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3.2">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3.2">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3.2">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3.2">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3.2">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3.2">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3.2">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3.2">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3.2">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3.2">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3.2">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3.2">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3.2">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3.2">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3.2">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3.2">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3.2">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3.2">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3.2">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3.2">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3.2">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3.2">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3.2">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3.2">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3.2">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3.2">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3.2">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3.2">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3.2">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3.2">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3.2">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3.2">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3.2">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3.2">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3.2">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3.2">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3.2">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3.2">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3.2">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3.2">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3.2">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3.2">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3.2">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3.2">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3.2">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3.2">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3.2">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3.2">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3.2">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3.2">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3.2">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3.2">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3.2">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3.2">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3.2">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3.2">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3.2">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3.2">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3.2">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3.2">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3.2">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3.2">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3.2">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3.2">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3.2">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3.2">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3.2">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3.2">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3.2">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3.2">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3.2">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3.2">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3.2">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3.2">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3.2">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3.2">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3.2">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3.2">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3.2">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3.2">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3.2">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3.2">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3.2">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3.2">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3.2">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3.2">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3.2">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3.2">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3.2">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3.2">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3.2">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3.2">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3.2">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3.2">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3.2">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3.2">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3.2">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3.2">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3.2">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3.2">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3.2">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3.2">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3.2">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3.2">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3.2">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3.2">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3.2">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3.2">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3.2">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3.2">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3.2">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3.2">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3.2">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3.2">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3.2">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3.2">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3.2">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3.2">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3.2">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3.2">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3.2">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3.2">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3.2">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3.2">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3.2">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3.2">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3.2">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3.2">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3.2">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3.2">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3.2">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3.2">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3.2">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3.2">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3.2">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3.2">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3.2">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3.2">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3.2">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3.2">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3.2">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3.2">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3.2">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3.2">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3.2">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3.2">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3.2">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3.2">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3.2">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3.2">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3.2">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3.2">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3.2">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3.2">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3.2">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3.2">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3.2">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3.2">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3.2">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3.2">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3.2">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3.2">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3.2">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3.2">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3.2">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3.2">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3.2">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3.2">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3.2">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3.2">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3.2">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3.2">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3.2">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3.2">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3.2">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3.2">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3.2">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3.2">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3.2">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3.2">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3.2">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3.2">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3.2">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3.2">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3.2">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3.2">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3.2">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3.2">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3.2">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3.2">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3.2">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3.2">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3.2">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3.2">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3.2">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3.2">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3.2">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3.2">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3.2">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3.2">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3.2">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3.2">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3.2">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3.2">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3.2">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3.2">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3.2">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3.2">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3.2">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3.2">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3.2">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3.2">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3.2">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3.2">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3.2">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3.2">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3.2">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3.2">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3.2">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3.2">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3.2">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3.2">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3.2">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3.2">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3.2">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3.2">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3.2">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3.2">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3.2">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3.2">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3.2">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3.2">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3.2">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3.2">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3.2">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3.2">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3.2">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3.2">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3.2">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3.2">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3.2">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3.2">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3.2">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3.2">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3.2">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3.2">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3.2">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3.2">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3.2">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3.2">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3.2">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3.2">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3.2">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3.2">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3.2">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3.2">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3.2">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3.2">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3.2">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3.2">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3.2">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3.2">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3.2">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3.2">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3.2">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3.2">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3.2">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3.2">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3.2">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3.2">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3.2">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3.2">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3.2">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3.2">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3.2">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3.2">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3.2">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3.2">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3.2">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3.2">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3.2">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3.2">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3.2">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3.2">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3.2">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3.2">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3.2">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3.2">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3.2">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3.2">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3.2">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3.2">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3.2">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3.2">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3.2">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3.2">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3.2">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3.2">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3.2">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3.2">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3.2">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3.2">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3.2">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3.2">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3.2">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3.2">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3.2">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3.2">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3.2">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3.2">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3.2">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3.2">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3.2">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3.2">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3.2">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3.2">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3.2">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3.2">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3.2">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3.2">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3.2">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3.2">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3.2">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3.2">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3.2">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3.2">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3.2">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3.2">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3.2">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3.2">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3.2">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3.2">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3.2">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3.2">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3.2">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3.2">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3.2">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3.2">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3.2">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3.2">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3.2">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3.2">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3.2">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3.2">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3.2">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3.2">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3.2">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3.2">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3.2">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3.2">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3.2">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3.2">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3.2">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3.2">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3.2">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3.2">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3.2">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3.2">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3.2">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3.2">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3.2">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3.2">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3.2">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3.2">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3.2">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3.2">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3.2">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3.2">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3.2">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3.2">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3.2">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3.2">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3.2">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3.2">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3.2">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3.2">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3.2">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3.2">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3.2">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3.2">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3.2">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3.2">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3.2">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3.2">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3.2">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3.2">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3.2">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3.2">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3.2">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3.2">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3.2">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3.2">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3.2">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3.2">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3.2">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3.2">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3.2">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3.2">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3.2">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3.2">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3.2">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3.2">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3.2">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3.2">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3.2">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3.2">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3.2">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3.2">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3.2">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3.2">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3.2">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3.2">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3.2">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3.2">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3.2">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3.2">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3.2">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3.2">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3.2">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3.2">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3.2">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3.2">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3.2">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3.2">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3.2">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3.2">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3.2">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3.2">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3.2">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3.2">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3.2">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3.2">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3.2">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3.2">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3.2">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3.2">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3.2">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3.2">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3.2">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3.2">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3.2">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3.2">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3.2">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3.2">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3.2">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3.2">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3.2">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3.2">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3.2">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3.2">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3.2">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3.2">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3.2">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3.2">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3.2">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3.2">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3.2">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3.2">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3.2">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3.2">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3.2">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3.2">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3.2">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3.2">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3.2">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3.2">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3.2">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3.2">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3.2">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3.2">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3.2">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3.2">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3.2">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3.2">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3.2">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3.2">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3.2">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3.2">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3.2">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3.2">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3.2">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3.2">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3.2">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3.2">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3.2">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3.2">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3.2">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3.2">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3.2">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3.2">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3.2">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3.2">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3.2">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3.2">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3.2">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3.2">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3.2">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3.2">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3.2">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3.2">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3.2">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3.2">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3.2">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3.2">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3.2">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3.2">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3.2">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3.2">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3.2">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3.2">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3.2">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3.2">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3.2">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3.2">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3.2">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3.2">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3.2">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3.2">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3.2">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3.2">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3.2">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3.2">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3.2">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3.2">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3.2">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3.2">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3.2">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3.2">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3.2">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3.2">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3.2">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3.2">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3.2">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3.2">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3.2">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3.2">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3.2">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3.2">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3.2">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3.2">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3.2">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3.2">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3.2">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3.2">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3.2">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3.2">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3.2">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3.2">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3.2">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3.2">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3.2">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3.2">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3.2">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3.2">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3.2">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3.2">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3.2">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3.2">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3.2">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3.2">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3.2">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3.2">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3.2">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3.2">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3.2">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3.2">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3.2">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3.2">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3.2">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3.2">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3.2">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3.2">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3.2">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3.2">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3.2">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3.2">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3.2">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3.2">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3.2">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3.2">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3.2">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3.2">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3.2">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3.2">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3.2">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3.2">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3.2">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3.2">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3.2">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3.2">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3.2">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3.2">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3.2">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3.2">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3.2">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3.2">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3.2">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3.2">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3.2">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3.2">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3.2">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3.2">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3.2">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3.2">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3.2">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3.2">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3.2">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3.2">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3.2">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3.2">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3.2">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3.2">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3.2">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3.2">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3.2">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3.2">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3.2">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3.2">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3.2">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3.2">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3.2">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3.2">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3.2">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3.2">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3.2">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3.2">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3.2">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3.2">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3.2">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3.2">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3.2">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xr:uid="{00000000-0009-0000-0000-000006000000}"/>
  <customSheetViews>
    <customSheetView guid="{FFD1D3DF-AC67-4F1F-BAFB-92C0D7600335}" filter="1" showAutoFilter="1">
      <pageMargins left="0.7" right="0.7" top="0.75" bottom="0.75" header="0.3" footer="0.3"/>
      <autoFilter ref="J15:J18" xr:uid="{00000000-0000-0000-0000-000000000000}"/>
    </customSheetView>
  </customSheetViews>
  <mergeCells count="2">
    <mergeCell ref="D9:D10"/>
    <mergeCell ref="A5:J5"/>
  </mergeCells>
  <conditionalFormatting sqref="H16">
    <cfRule type="cellIs" dxfId="5" priority="7" operator="equal">
      <formula>"MEP validée"</formula>
    </cfRule>
  </conditionalFormatting>
  <conditionalFormatting sqref="H16">
    <cfRule type="cellIs" dxfId="4" priority="8" operator="equal">
      <formula>"MEP à vérifier"</formula>
    </cfRule>
  </conditionalFormatting>
  <conditionalFormatting sqref="H16">
    <cfRule type="cellIs" dxfId="3" priority="9" operator="equal">
      <formula>"MEP en cours"</formula>
    </cfRule>
  </conditionalFormatting>
  <conditionalFormatting sqref="H16">
    <cfRule type="cellIs" dxfId="2" priority="10" operator="equal">
      <formula>"En production"</formula>
    </cfRule>
  </conditionalFormatting>
  <conditionalFormatting sqref="H16">
    <cfRule type="cellIs" dxfId="1" priority="11" operator="equal">
      <formula>"Reçu"</formula>
    </cfRule>
  </conditionalFormatting>
  <conditionalFormatting sqref="H16">
    <cfRule type="cellIs" dxfId="0"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r:uid="{00000000-0002-0000-0600-000000000000}">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topLeftCell="A43" zoomScaleNormal="100" zoomScaleSheetLayoutView="80" workbookViewId="0">
      <selection activeCell="H31" sqref="H31"/>
    </sheetView>
  </sheetViews>
  <sheetFormatPr defaultColWidth="10.77734375" defaultRowHeight="11.4"/>
  <cols>
    <col min="1" max="1" width="36.77734375" style="267" bestFit="1" customWidth="1"/>
    <col min="2" max="2" width="4.109375" style="267" bestFit="1" customWidth="1"/>
    <col min="3" max="3" width="10.6640625" style="267" bestFit="1" customWidth="1"/>
    <col min="4" max="4" width="4.33203125" style="267" bestFit="1" customWidth="1"/>
    <col min="5" max="5" width="5.21875" style="267" customWidth="1"/>
    <col min="6" max="6" width="8.88671875" style="267" bestFit="1" customWidth="1"/>
    <col min="7" max="7" width="12.21875" style="267" bestFit="1" customWidth="1"/>
    <col min="8" max="8" width="17.88671875" style="267" customWidth="1"/>
    <col min="9" max="16384" width="10.77734375" style="267"/>
  </cols>
  <sheetData>
    <row r="2" spans="1:8" ht="17.55" customHeight="1">
      <c r="A2" s="266" t="s">
        <v>366</v>
      </c>
      <c r="B2" s="266" t="s">
        <v>369</v>
      </c>
      <c r="C2" s="266" t="s">
        <v>367</v>
      </c>
      <c r="D2" s="266" t="s">
        <v>394</v>
      </c>
      <c r="E2" s="266" t="s">
        <v>374</v>
      </c>
      <c r="F2" s="266" t="s">
        <v>393</v>
      </c>
      <c r="G2" s="266" t="s">
        <v>380</v>
      </c>
      <c r="H2" s="266" t="s">
        <v>368</v>
      </c>
    </row>
    <row r="3" spans="1:8" ht="22.8" customHeight="1">
      <c r="A3" s="268" t="s">
        <v>259</v>
      </c>
      <c r="B3" s="268"/>
      <c r="C3" s="269">
        <v>43497</v>
      </c>
      <c r="D3" s="275"/>
      <c r="E3" s="270" t="s">
        <v>161</v>
      </c>
      <c r="F3" s="273"/>
      <c r="G3" s="273"/>
      <c r="H3" s="268"/>
    </row>
    <row r="4" spans="1:8" ht="22.8" customHeight="1">
      <c r="A4" s="268" t="s">
        <v>261</v>
      </c>
      <c r="B4" s="268"/>
      <c r="C4" s="269">
        <v>43497</v>
      </c>
      <c r="D4" s="275"/>
      <c r="E4" s="270" t="s">
        <v>161</v>
      </c>
      <c r="F4" s="273"/>
      <c r="G4" s="273"/>
      <c r="H4" s="268"/>
    </row>
    <row r="5" spans="1:8" ht="22.8" customHeight="1">
      <c r="A5" s="268" t="s">
        <v>381</v>
      </c>
      <c r="B5" s="268"/>
      <c r="C5" s="269">
        <v>43497</v>
      </c>
      <c r="D5" s="275"/>
      <c r="E5" s="270" t="s">
        <v>161</v>
      </c>
      <c r="F5" s="273"/>
      <c r="G5" s="273"/>
      <c r="H5" s="268"/>
    </row>
    <row r="6" spans="1:8" ht="22.8" customHeight="1">
      <c r="A6" s="268" t="s">
        <v>264</v>
      </c>
      <c r="B6" s="268"/>
      <c r="C6" s="269">
        <v>43497</v>
      </c>
      <c r="D6" s="275"/>
      <c r="E6" s="270" t="s">
        <v>161</v>
      </c>
      <c r="F6" s="273"/>
      <c r="G6" s="273"/>
      <c r="H6" s="268"/>
    </row>
    <row r="7" spans="1:8" ht="22.8" customHeight="1">
      <c r="A7" s="268" t="s">
        <v>267</v>
      </c>
      <c r="B7" s="268"/>
      <c r="C7" s="269">
        <v>43497</v>
      </c>
      <c r="D7" s="275"/>
      <c r="E7" s="270" t="s">
        <v>161</v>
      </c>
      <c r="F7" s="273"/>
      <c r="G7" s="273"/>
      <c r="H7" s="268"/>
    </row>
    <row r="8" spans="1:8" ht="22.8" customHeight="1">
      <c r="A8" s="268" t="s">
        <v>271</v>
      </c>
      <c r="B8" s="268"/>
      <c r="C8" s="269">
        <v>43497</v>
      </c>
      <c r="D8" s="275"/>
      <c r="E8" s="270" t="s">
        <v>161</v>
      </c>
      <c r="F8" s="273"/>
      <c r="G8" s="273"/>
      <c r="H8" s="268"/>
    </row>
    <row r="9" spans="1:8" ht="22.8" customHeight="1">
      <c r="A9" s="268" t="s">
        <v>272</v>
      </c>
      <c r="B9" s="268"/>
      <c r="C9" s="269">
        <v>43497</v>
      </c>
      <c r="D9" s="275"/>
      <c r="E9" s="270" t="s">
        <v>161</v>
      </c>
      <c r="F9" s="273"/>
      <c r="G9" s="273"/>
      <c r="H9" s="268"/>
    </row>
    <row r="10" spans="1:8" ht="22.8" customHeight="1">
      <c r="A10" s="277"/>
      <c r="B10" s="278"/>
      <c r="C10" s="279"/>
      <c r="D10" s="278"/>
      <c r="E10" s="280"/>
      <c r="F10" s="279"/>
      <c r="G10" s="279"/>
      <c r="H10" s="278"/>
    </row>
    <row r="11" spans="1:8" ht="22.8" customHeight="1">
      <c r="A11" s="276" t="s">
        <v>382</v>
      </c>
      <c r="B11" s="268">
        <v>2</v>
      </c>
      <c r="C11" s="269">
        <v>43502</v>
      </c>
      <c r="D11" s="275"/>
      <c r="E11" s="270" t="s">
        <v>202</v>
      </c>
      <c r="F11" s="274"/>
      <c r="G11" s="274"/>
      <c r="H11" s="268"/>
    </row>
    <row r="12" spans="1:8" ht="22.8" customHeight="1">
      <c r="A12" s="276" t="s">
        <v>217</v>
      </c>
      <c r="B12" s="268"/>
      <c r="C12" s="269">
        <v>43502</v>
      </c>
      <c r="D12" s="275"/>
      <c r="E12" s="270" t="s">
        <v>202</v>
      </c>
      <c r="F12" s="274"/>
      <c r="G12" s="274"/>
      <c r="H12" s="268"/>
    </row>
    <row r="13" spans="1:8" ht="22.8" customHeight="1">
      <c r="A13" s="276" t="s">
        <v>232</v>
      </c>
      <c r="B13" s="268"/>
      <c r="C13" s="269">
        <v>43502</v>
      </c>
      <c r="D13" s="275"/>
      <c r="E13" s="270" t="s">
        <v>202</v>
      </c>
      <c r="F13" s="274"/>
      <c r="G13" s="274"/>
      <c r="H13" s="268"/>
    </row>
    <row r="14" spans="1:8" ht="22.8" customHeight="1">
      <c r="A14" s="276" t="s">
        <v>239</v>
      </c>
      <c r="B14" s="268"/>
      <c r="C14" s="269">
        <v>43502</v>
      </c>
      <c r="D14" s="275"/>
      <c r="E14" s="270" t="s">
        <v>252</v>
      </c>
      <c r="F14" s="274"/>
      <c r="G14" s="274"/>
      <c r="H14" s="268"/>
    </row>
    <row r="15" spans="1:8" ht="22.8" customHeight="1">
      <c r="A15" s="276" t="s">
        <v>241</v>
      </c>
      <c r="B15" s="268"/>
      <c r="C15" s="269">
        <v>43502</v>
      </c>
      <c r="D15" s="275"/>
      <c r="E15" s="270" t="s">
        <v>252</v>
      </c>
      <c r="F15" s="274"/>
      <c r="G15" s="274"/>
      <c r="H15" s="268"/>
    </row>
    <row r="16" spans="1:8" ht="22.8" customHeight="1">
      <c r="A16" s="276" t="s">
        <v>251</v>
      </c>
      <c r="B16" s="268"/>
      <c r="C16" s="269">
        <v>43502</v>
      </c>
      <c r="D16" s="275"/>
      <c r="E16" s="270" t="s">
        <v>252</v>
      </c>
      <c r="F16" s="274"/>
      <c r="G16" s="274"/>
      <c r="H16" s="268"/>
    </row>
    <row r="17" spans="1:8" ht="22.8" customHeight="1">
      <c r="A17" s="277"/>
      <c r="B17" s="278"/>
      <c r="C17" s="279"/>
      <c r="D17" s="279"/>
      <c r="E17" s="281"/>
      <c r="F17" s="279"/>
      <c r="G17" s="279"/>
      <c r="H17" s="278"/>
    </row>
    <row r="18" spans="1:8" ht="22.8" customHeight="1">
      <c r="A18" s="276" t="s">
        <v>383</v>
      </c>
      <c r="B18" s="268"/>
      <c r="C18" s="269">
        <v>43504</v>
      </c>
      <c r="D18" s="275"/>
      <c r="E18" s="270" t="s">
        <v>66</v>
      </c>
      <c r="F18" s="274"/>
      <c r="G18" s="274"/>
      <c r="H18" s="268"/>
    </row>
    <row r="19" spans="1:8" ht="22.8" customHeight="1">
      <c r="A19" s="276" t="s">
        <v>176</v>
      </c>
      <c r="B19" s="268"/>
      <c r="C19" s="269">
        <v>43504</v>
      </c>
      <c r="D19" s="275"/>
      <c r="E19" s="270" t="s">
        <v>66</v>
      </c>
      <c r="F19" s="274"/>
      <c r="G19" s="274"/>
      <c r="H19" s="268"/>
    </row>
    <row r="20" spans="1:8" ht="22.8" customHeight="1">
      <c r="A20" s="276" t="s">
        <v>178</v>
      </c>
      <c r="B20" s="268">
        <v>4</v>
      </c>
      <c r="C20" s="269">
        <v>43504</v>
      </c>
      <c r="D20" s="275"/>
      <c r="E20" s="270" t="s">
        <v>66</v>
      </c>
      <c r="F20" s="274"/>
      <c r="G20" s="274"/>
      <c r="H20" s="268"/>
    </row>
    <row r="21" spans="1:8" ht="22.8" customHeight="1">
      <c r="A21" s="276" t="s">
        <v>182</v>
      </c>
      <c r="B21" s="268">
        <v>1</v>
      </c>
      <c r="C21" s="269">
        <v>43504</v>
      </c>
      <c r="D21" s="275"/>
      <c r="E21" s="270" t="s">
        <v>66</v>
      </c>
      <c r="F21" s="274"/>
      <c r="G21" s="274"/>
      <c r="H21" s="268"/>
    </row>
    <row r="22" spans="1:8" ht="22.8" customHeight="1">
      <c r="A22" s="276" t="s">
        <v>183</v>
      </c>
      <c r="B22" s="268">
        <v>1</v>
      </c>
      <c r="C22" s="269">
        <v>43504</v>
      </c>
      <c r="D22" s="275"/>
      <c r="E22" s="270" t="s">
        <v>66</v>
      </c>
      <c r="F22" s="274"/>
      <c r="G22" s="274"/>
      <c r="H22" s="268"/>
    </row>
    <row r="23" spans="1:8" ht="22.8" customHeight="1">
      <c r="A23" s="277"/>
      <c r="B23" s="278"/>
      <c r="C23" s="279"/>
      <c r="D23" s="279"/>
      <c r="E23" s="280"/>
      <c r="F23" s="279"/>
      <c r="G23" s="279"/>
      <c r="H23" s="278"/>
    </row>
    <row r="24" spans="1:8" ht="22.8" customHeight="1">
      <c r="A24" s="276" t="s">
        <v>68</v>
      </c>
      <c r="B24" s="268">
        <v>2</v>
      </c>
      <c r="C24" s="269">
        <v>43509</v>
      </c>
      <c r="D24" s="269"/>
      <c r="E24" s="270" t="s">
        <v>66</v>
      </c>
      <c r="F24" s="274"/>
      <c r="G24" s="274"/>
      <c r="H24" s="268"/>
    </row>
    <row r="25" spans="1:8" ht="22.8" customHeight="1">
      <c r="A25" s="276" t="s">
        <v>46</v>
      </c>
      <c r="B25" s="268">
        <v>1</v>
      </c>
      <c r="C25" s="269">
        <v>43509</v>
      </c>
      <c r="D25" s="269"/>
      <c r="E25" s="270" t="s">
        <v>77</v>
      </c>
      <c r="F25" s="274"/>
      <c r="G25" s="270"/>
      <c r="H25" s="268" t="s">
        <v>384</v>
      </c>
    </row>
    <row r="26" spans="1:8" ht="22.8" customHeight="1">
      <c r="A26" s="276" t="s">
        <v>53</v>
      </c>
      <c r="B26" s="268">
        <v>1</v>
      </c>
      <c r="C26" s="269">
        <v>43509</v>
      </c>
      <c r="D26" s="269"/>
      <c r="E26" s="270" t="s">
        <v>77</v>
      </c>
      <c r="F26" s="274"/>
      <c r="G26" s="274"/>
      <c r="H26" s="268"/>
    </row>
    <row r="27" spans="1:8" ht="22.8" customHeight="1">
      <c r="A27" s="276" t="s">
        <v>179</v>
      </c>
      <c r="B27" s="268">
        <v>1</v>
      </c>
      <c r="C27" s="269">
        <v>43509</v>
      </c>
      <c r="D27" s="268"/>
      <c r="E27" s="270" t="s">
        <v>66</v>
      </c>
      <c r="F27" s="274"/>
      <c r="G27" s="274"/>
      <c r="H27" s="268"/>
    </row>
    <row r="28" spans="1:8" ht="22.8" customHeight="1">
      <c r="A28" s="276" t="s">
        <v>181</v>
      </c>
      <c r="B28" s="268">
        <v>1</v>
      </c>
      <c r="C28" s="269">
        <v>43509</v>
      </c>
      <c r="D28" s="268"/>
      <c r="E28" s="270" t="s">
        <v>66</v>
      </c>
      <c r="F28" s="274"/>
      <c r="G28" s="270"/>
      <c r="H28" s="268"/>
    </row>
    <row r="29" spans="1:8" ht="22.8" customHeight="1">
      <c r="A29" s="276" t="s">
        <v>203</v>
      </c>
      <c r="B29" s="268">
        <v>2</v>
      </c>
      <c r="C29" s="269">
        <v>43509</v>
      </c>
      <c r="D29" s="268"/>
      <c r="E29" s="270" t="s">
        <v>158</v>
      </c>
      <c r="F29" s="274"/>
      <c r="G29" s="270"/>
      <c r="H29" s="268"/>
    </row>
    <row r="30" spans="1:8" ht="22.8" customHeight="1">
      <c r="A30" s="276" t="s">
        <v>205</v>
      </c>
      <c r="B30" s="268">
        <v>2</v>
      </c>
      <c r="C30" s="269">
        <v>43509</v>
      </c>
      <c r="D30" s="268"/>
      <c r="E30" s="270" t="s">
        <v>158</v>
      </c>
      <c r="F30" s="274"/>
      <c r="G30" s="274"/>
      <c r="H30" s="268"/>
    </row>
    <row r="31" spans="1:8" ht="22.8" customHeight="1">
      <c r="A31" s="276" t="s">
        <v>210</v>
      </c>
      <c r="B31" s="268"/>
      <c r="C31" s="269">
        <v>43509</v>
      </c>
      <c r="D31" s="268"/>
      <c r="E31" s="270" t="s">
        <v>51</v>
      </c>
      <c r="F31" s="274"/>
      <c r="G31" s="274"/>
      <c r="H31" s="268"/>
    </row>
    <row r="32" spans="1:8" ht="22.8" customHeight="1">
      <c r="A32" s="276" t="s">
        <v>211</v>
      </c>
      <c r="B32" s="268">
        <v>2</v>
      </c>
      <c r="C32" s="269">
        <v>43509</v>
      </c>
      <c r="D32" s="268"/>
      <c r="E32" s="270" t="s">
        <v>212</v>
      </c>
      <c r="F32" s="274"/>
      <c r="G32" s="274"/>
      <c r="H32" s="268"/>
    </row>
    <row r="33" spans="1:8" ht="22.8" customHeight="1">
      <c r="A33" s="276" t="s">
        <v>213</v>
      </c>
      <c r="B33" s="268"/>
      <c r="C33" s="269">
        <v>43509</v>
      </c>
      <c r="D33" s="268"/>
      <c r="E33" s="270" t="s">
        <v>208</v>
      </c>
      <c r="F33" s="274"/>
      <c r="G33" s="274"/>
      <c r="H33" s="268"/>
    </row>
    <row r="34" spans="1:8" ht="22.8" customHeight="1">
      <c r="A34" s="276" t="s">
        <v>385</v>
      </c>
      <c r="B34" s="268"/>
      <c r="C34" s="269">
        <v>43509</v>
      </c>
      <c r="D34" s="269"/>
      <c r="E34" s="270" t="s">
        <v>208</v>
      </c>
      <c r="F34" s="274"/>
      <c r="G34" s="274"/>
      <c r="H34" s="268"/>
    </row>
    <row r="35" spans="1:8" ht="22.8" customHeight="1">
      <c r="A35" s="276" t="s">
        <v>386</v>
      </c>
      <c r="B35" s="268"/>
      <c r="C35" s="269">
        <v>43509</v>
      </c>
      <c r="D35" s="269"/>
      <c r="E35" s="270" t="s">
        <v>208</v>
      </c>
      <c r="F35" s="274"/>
      <c r="G35" s="274"/>
      <c r="H35" s="268"/>
    </row>
    <row r="36" spans="1:8" ht="22.8" customHeight="1">
      <c r="A36" s="276" t="s">
        <v>247</v>
      </c>
      <c r="B36" s="268"/>
      <c r="C36" s="269">
        <v>43509</v>
      </c>
      <c r="D36" s="269"/>
      <c r="E36" s="271" t="s">
        <v>124</v>
      </c>
      <c r="F36" s="274"/>
      <c r="G36" s="274"/>
      <c r="H36" s="268" t="s">
        <v>395</v>
      </c>
    </row>
    <row r="37" spans="1:8" ht="22.8" customHeight="1">
      <c r="A37" s="276" t="s">
        <v>248</v>
      </c>
      <c r="B37" s="268"/>
      <c r="C37" s="269">
        <v>43509</v>
      </c>
      <c r="D37" s="269"/>
      <c r="E37" s="271" t="s">
        <v>124</v>
      </c>
      <c r="F37" s="274"/>
      <c r="G37" s="274"/>
      <c r="H37" s="268" t="s">
        <v>395</v>
      </c>
    </row>
    <row r="38" spans="1:8" ht="22.8" customHeight="1">
      <c r="A38" s="276" t="s">
        <v>249</v>
      </c>
      <c r="B38" s="268"/>
      <c r="C38" s="269">
        <v>43509</v>
      </c>
      <c r="D38" s="269"/>
      <c r="E38" s="271" t="s">
        <v>124</v>
      </c>
      <c r="F38" s="274"/>
      <c r="G38" s="274"/>
      <c r="H38" s="268"/>
    </row>
    <row r="39" spans="1:8" ht="22.8" customHeight="1">
      <c r="A39" s="276" t="s">
        <v>250</v>
      </c>
      <c r="B39" s="268"/>
      <c r="C39" s="269">
        <v>43509</v>
      </c>
      <c r="D39" s="269"/>
      <c r="E39" s="271" t="s">
        <v>124</v>
      </c>
      <c r="F39" s="270"/>
      <c r="G39" s="270"/>
      <c r="H39" s="268"/>
    </row>
    <row r="40" spans="1:8" ht="22.8" customHeight="1">
      <c r="A40" s="276" t="s">
        <v>218</v>
      </c>
      <c r="B40" s="268"/>
      <c r="C40" s="269">
        <v>43509</v>
      </c>
      <c r="D40" s="269"/>
      <c r="E40" s="270" t="s">
        <v>51</v>
      </c>
      <c r="F40" s="270"/>
      <c r="G40" s="270"/>
      <c r="H40" s="268"/>
    </row>
    <row r="41" spans="1:8" ht="22.8" customHeight="1">
      <c r="A41" s="276" t="s">
        <v>266</v>
      </c>
      <c r="B41" s="268"/>
      <c r="C41" s="269">
        <v>43509</v>
      </c>
      <c r="D41" s="269"/>
      <c r="E41" s="270" t="s">
        <v>51</v>
      </c>
      <c r="F41" s="274"/>
      <c r="G41" s="274"/>
      <c r="H41" s="268"/>
    </row>
    <row r="42" spans="1:8" ht="22.8" customHeight="1">
      <c r="A42" s="277"/>
      <c r="B42" s="278"/>
      <c r="C42" s="279"/>
      <c r="D42" s="278"/>
      <c r="E42" s="280"/>
      <c r="F42" s="279"/>
      <c r="G42" s="279"/>
      <c r="H42" s="278"/>
    </row>
    <row r="43" spans="1:8" ht="22.8" customHeight="1">
      <c r="A43" s="276" t="s">
        <v>97</v>
      </c>
      <c r="B43" s="268"/>
      <c r="C43" s="269">
        <v>43517</v>
      </c>
      <c r="D43" s="268"/>
      <c r="E43" s="270" t="s">
        <v>59</v>
      </c>
      <c r="F43" s="274"/>
      <c r="G43" s="274"/>
      <c r="H43" s="268"/>
    </row>
    <row r="44" spans="1:8" ht="22.8" customHeight="1">
      <c r="A44" s="276" t="s">
        <v>387</v>
      </c>
      <c r="B44" s="268"/>
      <c r="C44" s="269">
        <v>43517</v>
      </c>
      <c r="D44" s="268"/>
      <c r="E44" s="270" t="s">
        <v>59</v>
      </c>
      <c r="F44" s="274"/>
      <c r="G44" s="274"/>
      <c r="H44" s="268"/>
    </row>
    <row r="45" spans="1:8" ht="22.8" customHeight="1">
      <c r="A45" s="276" t="s">
        <v>184</v>
      </c>
      <c r="B45" s="268">
        <v>2</v>
      </c>
      <c r="C45" s="269" t="s">
        <v>388</v>
      </c>
      <c r="D45" s="268"/>
      <c r="E45" s="270" t="s">
        <v>66</v>
      </c>
      <c r="F45" s="274"/>
      <c r="G45" s="274"/>
      <c r="H45" s="268" t="s">
        <v>389</v>
      </c>
    </row>
    <row r="46" spans="1:8" ht="22.8" customHeight="1">
      <c r="A46" s="276" t="s">
        <v>185</v>
      </c>
      <c r="B46" s="268">
        <v>2</v>
      </c>
      <c r="C46" s="269" t="s">
        <v>388</v>
      </c>
      <c r="D46" s="268"/>
      <c r="E46" s="270" t="s">
        <v>66</v>
      </c>
      <c r="F46" s="274"/>
      <c r="G46" s="274"/>
      <c r="H46" s="268" t="s">
        <v>389</v>
      </c>
    </row>
    <row r="47" spans="1:8" ht="22.8" customHeight="1">
      <c r="A47" s="276" t="s">
        <v>246</v>
      </c>
      <c r="B47" s="268"/>
      <c r="C47" s="269"/>
      <c r="D47" s="268"/>
      <c r="E47" s="270" t="s">
        <v>375</v>
      </c>
      <c r="F47" s="270"/>
      <c r="G47" s="274"/>
      <c r="H47" s="268" t="s">
        <v>390</v>
      </c>
    </row>
    <row r="48" spans="1:8" ht="22.8" customHeight="1">
      <c r="A48" s="276" t="s">
        <v>363</v>
      </c>
      <c r="B48" s="268"/>
      <c r="C48" s="269"/>
      <c r="D48" s="268"/>
      <c r="E48" s="270" t="s">
        <v>252</v>
      </c>
      <c r="F48" s="274"/>
      <c r="G48" s="274"/>
      <c r="H48" s="268"/>
    </row>
    <row r="49" spans="1:8" ht="22.8" customHeight="1">
      <c r="A49" s="276" t="s">
        <v>253</v>
      </c>
      <c r="B49" s="268"/>
      <c r="C49" s="269"/>
      <c r="D49" s="268"/>
      <c r="E49" s="270" t="s">
        <v>51</v>
      </c>
      <c r="F49" s="274"/>
      <c r="G49" s="274"/>
      <c r="H49" s="268"/>
    </row>
    <row r="50" spans="1:8" ht="22.8" customHeight="1">
      <c r="A50" s="276" t="s">
        <v>269</v>
      </c>
      <c r="B50" s="268"/>
      <c r="C50" s="268"/>
      <c r="D50" s="268"/>
      <c r="E50" s="270" t="s">
        <v>161</v>
      </c>
      <c r="F50" s="270"/>
      <c r="G50" s="272"/>
      <c r="H50" s="268" t="s">
        <v>391</v>
      </c>
    </row>
    <row r="51" spans="1:8" ht="22.8" customHeight="1">
      <c r="A51" s="268" t="s">
        <v>142</v>
      </c>
      <c r="B51" s="268"/>
      <c r="C51" s="268"/>
      <c r="D51" s="268"/>
      <c r="E51" s="268" t="s">
        <v>375</v>
      </c>
      <c r="F51" s="268"/>
      <c r="G51" s="268"/>
      <c r="H51" s="268" t="s">
        <v>392</v>
      </c>
    </row>
    <row r="52" spans="1:8" ht="22.8" customHeight="1">
      <c r="A52" s="268"/>
      <c r="B52" s="268"/>
      <c r="C52" s="268"/>
      <c r="D52" s="268"/>
      <c r="E52" s="268"/>
      <c r="F52" s="268"/>
      <c r="G52" s="268"/>
      <c r="H52" s="268"/>
    </row>
    <row r="53" spans="1:8" ht="22.8" customHeight="1">
      <c r="A53" s="268"/>
      <c r="B53" s="268"/>
      <c r="C53" s="268"/>
      <c r="D53" s="268"/>
      <c r="E53" s="268"/>
      <c r="F53" s="268"/>
      <c r="G53" s="268"/>
      <c r="H53" s="268"/>
    </row>
    <row r="54" spans="1:8" ht="22.8" customHeight="1">
      <c r="A54" s="268"/>
      <c r="B54" s="268"/>
      <c r="C54" s="268"/>
      <c r="D54" s="268"/>
      <c r="E54" s="268"/>
      <c r="F54" s="268"/>
      <c r="G54" s="268"/>
      <c r="H54" s="268"/>
    </row>
    <row r="55" spans="1:8" ht="22.8" customHeight="1">
      <c r="A55" s="268"/>
      <c r="B55" s="268"/>
      <c r="C55" s="268"/>
      <c r="D55" s="268"/>
      <c r="E55" s="268"/>
      <c r="F55" s="268"/>
      <c r="G55" s="268"/>
      <c r="H55" s="268"/>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Maxime Proriol</cp:lastModifiedBy>
  <cp:lastPrinted>2019-02-10T17:51:56Z</cp:lastPrinted>
  <dcterms:created xsi:type="dcterms:W3CDTF">2019-02-04T18:11:13Z</dcterms:created>
  <dcterms:modified xsi:type="dcterms:W3CDTF">2019-02-12T10:00:20Z</dcterms:modified>
</cp:coreProperties>
</file>